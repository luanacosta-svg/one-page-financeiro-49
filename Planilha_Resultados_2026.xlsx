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struções" sheetId="1" state="visible" r:id="rId1"/>
    <sheet name="🛠 Produto" sheetId="2" state="visible" r:id="rId2"/>
    <sheet name="🤝 B2B" sheetId="3" state="visible" r:id="rId3"/>
    <sheet name="📋 Licitações" sheetId="4" state="visible" r:id="rId4"/>
    <sheet name="💰 Financeiro" sheetId="5" state="visible" r:id="rId5"/>
    <sheet name="📊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&quot;R$&quot; #,##0;(&quot;R$&quot; #,##0);&quot;-&quot;"/>
    <numFmt numFmtId="167" formatCode="0.0;(0.0);&quot;-&quot;"/>
  </numFmts>
  <fonts count="12">
    <font>
      <name val="Calibri"/>
      <family val="2"/>
      <color theme="1"/>
      <sz val="11"/>
      <scheme val="minor"/>
    </font>
    <font>
      <name val="Inter"/>
      <b val="1"/>
      <color rgb="001E293B"/>
      <sz val="22"/>
    </font>
    <font>
      <name val="Inter"/>
      <color rgb="00334155"/>
      <sz val="11"/>
    </font>
    <font>
      <name val="Inter"/>
      <b val="1"/>
      <color rgb="00FFFFFF"/>
      <sz val="11"/>
    </font>
    <font>
      <name val="Inter"/>
      <color rgb="00334155"/>
      <sz val="10"/>
    </font>
    <font>
      <name val="Inter"/>
      <b val="1"/>
      <color rgb="00334155"/>
      <sz val="9"/>
    </font>
    <font>
      <name val="Inter"/>
      <b val="1"/>
      <color rgb="001E293B"/>
      <sz val="10"/>
    </font>
    <font>
      <name val="Inter"/>
      <i val="1"/>
      <color rgb="00EA580C"/>
      <sz val="10"/>
    </font>
    <font>
      <name val="Inter"/>
      <b val="1"/>
      <color rgb="001E293B"/>
      <sz val="18"/>
    </font>
    <font>
      <name val="Inter"/>
      <b val="1"/>
      <color rgb="00EA580C"/>
      <sz val="10"/>
    </font>
    <font>
      <name val="Inter"/>
      <b val="1"/>
      <color rgb="00FFFFFF"/>
      <sz val="10"/>
    </font>
    <font>
      <name val="Inter"/>
      <color rgb="00334155"/>
      <sz val="9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F97316"/>
      </patternFill>
    </fill>
    <fill>
      <patternFill patternType="solid">
        <fgColor rgb="00FFEDD5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0" fillId="0" borderId="5" pivotButton="0" quotePrefix="0" xfId="0"/>
    <xf numFmtId="164" fontId="7" fillId="5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67" fontId="6" fillId="3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22" customWidth="1" min="4" max="4"/>
    <col width="14" customWidth="1" min="5" max="5"/>
    <col width="16" customWidth="1" min="6" max="6"/>
    <col width="20" customWidth="1" min="7" max="7"/>
    <col width="2" customWidth="1" min="8" max="8"/>
  </cols>
  <sheetData>
    <row r="2" ht="40" customHeight="1">
      <c r="B2" s="1" t="inlineStr">
        <is>
          <t>PLANILHA DE RESULTADOS · 49 Educação</t>
        </is>
      </c>
    </row>
    <row r="3">
      <c r="B3" s="2" t="inlineStr">
        <is>
          <t>Resultado mensal consolidado · 3 áreas de receita + Financeiro</t>
        </is>
      </c>
    </row>
    <row r="5" ht="28" customHeight="1">
      <c r="B5" s="3" t="inlineStr">
        <is>
          <t xml:space="preserve">  COMO FUNCIONA</t>
        </is>
      </c>
    </row>
    <row r="6" ht="36" customHeight="1">
      <c r="B6" s="4" t="inlineStr">
        <is>
          <t>Cada líder preenche apenas a sua aba até o dia 15 do mês seguinte. A Luana consolida o Financeiro e o dashboard HTML lê a aba "📤 Export" automaticamente.</t>
        </is>
      </c>
    </row>
    <row r="8" ht="28" customHeight="1">
      <c r="B8" s="3" t="inlineStr">
        <is>
          <t xml:space="preserve">  ÁREAS E RESPONSÁVEIS</t>
        </is>
      </c>
    </row>
    <row r="9">
      <c r="B9" s="5" t="inlineStr">
        <is>
          <t>Aba</t>
        </is>
      </c>
      <c r="C9" s="6" t="n"/>
      <c r="D9" s="5" t="inlineStr">
        <is>
          <t>Responsável</t>
        </is>
      </c>
      <c r="E9" s="6" t="n"/>
      <c r="F9" s="5" t="inlineStr">
        <is>
          <t>Prazo de Envio</t>
        </is>
      </c>
      <c r="G9" s="6" t="n"/>
    </row>
    <row r="10" ht="22" customHeight="1">
      <c r="B10" s="7" t="inlineStr">
        <is>
          <t>🛠 Produto</t>
        </is>
      </c>
      <c r="C10" s="6" t="n"/>
      <c r="D10" s="7" t="inlineStr">
        <is>
          <t>Tiago Toigo</t>
        </is>
      </c>
      <c r="E10" s="6" t="n"/>
      <c r="F10" s="7" t="inlineStr">
        <is>
          <t>Até dia 15 do mês seguinte</t>
        </is>
      </c>
      <c r="G10" s="6" t="n"/>
    </row>
    <row r="11" ht="22" customHeight="1">
      <c r="B11" s="7" t="inlineStr">
        <is>
          <t>🤝 Comercial B2B</t>
        </is>
      </c>
      <c r="C11" s="6" t="n"/>
      <c r="D11" s="7" t="inlineStr">
        <is>
          <t>Marcelo Câmara</t>
        </is>
      </c>
      <c r="E11" s="6" t="n"/>
      <c r="F11" s="7" t="inlineStr">
        <is>
          <t>Até dia 15 do mês seguinte</t>
        </is>
      </c>
      <c r="G11" s="6" t="n"/>
    </row>
    <row r="12" ht="22" customHeight="1">
      <c r="B12" s="7" t="inlineStr">
        <is>
          <t>📋 Licitações</t>
        </is>
      </c>
      <c r="C12" s="6" t="n"/>
      <c r="D12" s="7" t="inlineStr">
        <is>
          <t>Rafael Peck</t>
        </is>
      </c>
      <c r="E12" s="6" t="n"/>
      <c r="F12" s="7" t="inlineStr">
        <is>
          <t>Até dia 15 do mês seguinte</t>
        </is>
      </c>
      <c r="G12" s="6" t="n"/>
    </row>
    <row r="13" ht="22" customHeight="1">
      <c r="B13" s="7" t="inlineStr">
        <is>
          <t>💰 Financeiro</t>
        </is>
      </c>
      <c r="C13" s="6" t="n"/>
      <c r="D13" s="7" t="inlineStr">
        <is>
          <t>Luana / Financeiro</t>
        </is>
      </c>
      <c r="E13" s="6" t="n"/>
      <c r="F13" s="7" t="inlineStr">
        <is>
          <t>Após todas as áreas preencherem</t>
        </is>
      </c>
      <c r="G13" s="6" t="n"/>
    </row>
    <row r="14" ht="22" customHeight="1">
      <c r="B14" s="7" t="inlineStr">
        <is>
          <t>📤 Export</t>
        </is>
      </c>
      <c r="C14" s="6" t="n"/>
      <c r="D14" s="7" t="inlineStr">
        <is>
          <t>Automático (consolidação)</t>
        </is>
      </c>
      <c r="E14" s="6" t="n"/>
      <c r="F14" s="7" t="inlineStr">
        <is>
          <t>Lido pelo One Page HTML</t>
        </is>
      </c>
      <c r="G14" s="6" t="n"/>
    </row>
    <row r="17" ht="28" customHeight="1">
      <c r="B17" s="3" t="inlineStr">
        <is>
          <t xml:space="preserve">  LEGENDA DE CORES</t>
        </is>
      </c>
    </row>
    <row r="18" ht="22" customHeight="1">
      <c r="B18" s="8" t="inlineStr"/>
      <c r="C18" s="9" t="inlineStr">
        <is>
          <t>Campo de preenchimento</t>
        </is>
      </c>
      <c r="D18" s="6" t="n"/>
      <c r="E18" s="7" t="inlineStr">
        <is>
          <t>Preencha o número conforme rótulo do indicador</t>
        </is>
      </c>
      <c r="F18" s="10" t="n"/>
      <c r="G18" s="6" t="n"/>
    </row>
    <row r="19" ht="22" customHeight="1">
      <c r="B19" s="11" t="inlineStr">
        <is>
          <t>1.000</t>
        </is>
      </c>
      <c r="C19" s="9" t="inlineStr">
        <is>
          <t>Calculado automaticamente</t>
        </is>
      </c>
      <c r="D19" s="6" t="n"/>
      <c r="E19" s="7" t="inlineStr">
        <is>
          <t>Não edite — fórmula puxa de outras células</t>
        </is>
      </c>
      <c r="F19" s="10" t="n"/>
      <c r="G19" s="6" t="n"/>
    </row>
    <row r="20" ht="22" customHeight="1">
      <c r="B20" s="12" t="inlineStr">
        <is>
          <t>1.000</t>
        </is>
      </c>
      <c r="C20" s="9" t="inlineStr">
        <is>
          <t>Total / Cabeçalho de seção</t>
        </is>
      </c>
      <c r="D20" s="6" t="n"/>
      <c r="E20" s="7" t="inlineStr">
        <is>
          <t>Linhas de subtotal e categorias</t>
        </is>
      </c>
      <c r="F20" s="10" t="n"/>
      <c r="G20" s="6" t="n"/>
    </row>
    <row r="23" ht="28" customHeight="1">
      <c r="B23" s="13" t="inlineStr">
        <is>
          <t xml:space="preserve">  ⚠ IMPORTANTE — VENDIDO vs RECEBIDO</t>
        </is>
      </c>
    </row>
    <row r="24" ht="24" customHeight="1">
      <c r="B24" s="14" t="inlineStr">
        <is>
          <t>Os líderes preenchem o que foi VENDIDO no mês (contratos fechados). A Luana preenche o que foi RECEBIDO (entrada em caixa). O dashboard mostra o gap entre vendido e recebido por área.</t>
        </is>
      </c>
    </row>
    <row r="25" ht="24" customHeight="1"/>
  </sheetData>
  <mergeCells count="32">
    <mergeCell ref="B2:G2"/>
    <mergeCell ref="F11:G11"/>
    <mergeCell ref="D10:E10"/>
    <mergeCell ref="E19:G19"/>
    <mergeCell ref="F10:G10"/>
    <mergeCell ref="B17:G17"/>
    <mergeCell ref="B23:G23"/>
    <mergeCell ref="B8:G8"/>
    <mergeCell ref="B12:C12"/>
    <mergeCell ref="C20:D20"/>
    <mergeCell ref="F12:G12"/>
    <mergeCell ref="B11:C11"/>
    <mergeCell ref="D11:E11"/>
    <mergeCell ref="D13:E13"/>
    <mergeCell ref="B14:C14"/>
    <mergeCell ref="B6:G6"/>
    <mergeCell ref="B13:C13"/>
    <mergeCell ref="B5:G5"/>
    <mergeCell ref="B10:C10"/>
    <mergeCell ref="E18:G18"/>
    <mergeCell ref="F13:G13"/>
    <mergeCell ref="B9:C9"/>
    <mergeCell ref="D9:E9"/>
    <mergeCell ref="F9:G9"/>
    <mergeCell ref="D12:E12"/>
    <mergeCell ref="B3:G3"/>
    <mergeCell ref="B24:G25"/>
    <mergeCell ref="C19:D19"/>
    <mergeCell ref="D14:E14"/>
    <mergeCell ref="F14:G14"/>
    <mergeCell ref="C18:D18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6" customHeight="1">
      <c r="B2" s="15" t="inlineStr">
        <is>
          <t>🛠 PRODUTO — Tiago Toigo</t>
        </is>
      </c>
    </row>
    <row r="3">
      <c r="B3" s="16" t="inlineStr">
        <is>
          <t>Entrega das aulas/hot seats, saúde da base contratada, vendas de 49 Code e tech</t>
        </is>
      </c>
    </row>
    <row r="5" ht="28" customHeight="1">
      <c r="B5" s="5" t="inlineStr">
        <is>
          <t>Indicador</t>
        </is>
      </c>
      <c r="C5" s="5" t="inlineStr">
        <is>
          <t>Jan</t>
        </is>
      </c>
      <c r="D5" s="5" t="inlineStr">
        <is>
          <t>Fev</t>
        </is>
      </c>
      <c r="E5" s="5" t="inlineStr">
        <is>
          <t>Mar</t>
        </is>
      </c>
      <c r="F5" s="5" t="inlineStr">
        <is>
          <t>Abr</t>
        </is>
      </c>
      <c r="G5" s="5" t="inlineStr">
        <is>
          <t>Mai</t>
        </is>
      </c>
      <c r="H5" s="5" t="inlineStr">
        <is>
          <t>Jun</t>
        </is>
      </c>
      <c r="I5" s="5" t="inlineStr">
        <is>
          <t>Jul</t>
        </is>
      </c>
      <c r="J5" s="5" t="inlineStr">
        <is>
          <t>Ago</t>
        </is>
      </c>
      <c r="K5" s="5" t="inlineStr">
        <is>
          <t>Set</t>
        </is>
      </c>
      <c r="L5" s="5" t="inlineStr">
        <is>
          <t>Out</t>
        </is>
      </c>
      <c r="M5" s="5" t="inlineStr">
        <is>
          <t>Nov</t>
        </is>
      </c>
      <c r="N5" s="5" t="inlineStr">
        <is>
          <t>Dez</t>
        </is>
      </c>
      <c r="O5" s="5" t="inlineStr">
        <is>
          <t>Total/Média</t>
        </is>
      </c>
    </row>
    <row r="6" ht="24" customHeight="1">
      <c r="B6" s="17" t="inlineStr">
        <is>
          <t xml:space="preserve">  ENTREGA</t>
        </is>
      </c>
    </row>
    <row r="7" ht="22" customHeight="1">
      <c r="B7" s="7" t="inlineStr">
        <is>
          <t>Aulas / Hot Seats Realizadas</t>
        </is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2">
        <f>SUM(C7:N7)</f>
        <v/>
      </c>
    </row>
    <row r="8" ht="22" customHeight="1">
      <c r="B8" s="7" t="inlineStr">
        <is>
          <t>Marcos Entregues no Mês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2">
        <f>SUM(C8:N8)</f>
        <v/>
      </c>
    </row>
    <row r="9" ht="22" customHeight="1">
      <c r="B9" s="7" t="inlineStr">
        <is>
          <t>SLA de Entrega (%)</t>
        </is>
      </c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20">
        <f>IFERROR(AVERAGE(C9:N9),0)</f>
        <v/>
      </c>
    </row>
    <row r="11" ht="24" customHeight="1">
      <c r="B11" s="17" t="inlineStr">
        <is>
          <t xml:space="preserve">  SAÚDE DA BASE</t>
        </is>
      </c>
    </row>
    <row r="12" ht="22" customHeight="1">
      <c r="B12" s="7" t="inlineStr">
        <is>
          <t>Contratos Ativos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2">
        <f>SUM(C12:N12)</f>
        <v/>
      </c>
    </row>
    <row r="13" ht="22" customHeight="1">
      <c r="B13" s="7" t="inlineStr">
        <is>
          <t>NPS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2">
        <f>SUM(C13:N13)</f>
        <v/>
      </c>
    </row>
    <row r="15" ht="24" customHeight="1">
      <c r="B15" s="17" t="inlineStr">
        <is>
          <t xml:space="preserve">  RECEITA (VENDIDA NO MÊS)</t>
        </is>
      </c>
    </row>
    <row r="16" ht="22" customHeight="1">
      <c r="B16" s="7" t="inlineStr">
        <is>
          <t>Vendas de 49 Code (qtd)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2">
        <f>SUM(C16:N16)</f>
        <v/>
      </c>
    </row>
    <row r="17" ht="22" customHeight="1">
      <c r="B17" s="7" t="inlineStr">
        <is>
          <t>Receita de 49 Code (R$)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2">
        <f>SUM(C17:N17)</f>
        <v/>
      </c>
    </row>
    <row r="18" ht="22" customHeight="1">
      <c r="B18" s="7" t="inlineStr">
        <is>
          <t>Receita Total da Área (R$)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2">
        <f>SUM(C18:N18)</f>
        <v/>
      </c>
    </row>
    <row r="20" ht="24" customHeight="1">
      <c r="B20" s="17" t="inlineStr">
        <is>
          <t xml:space="preserve">  TECH</t>
        </is>
      </c>
    </row>
    <row r="21" ht="22" customHeight="1">
      <c r="B21" s="7" t="inlineStr">
        <is>
          <t>Uptime das Plataformas (%)</t>
        </is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20">
        <f>IFERROR(AVERAGE(C21:N21),0)</f>
        <v/>
      </c>
    </row>
    <row r="22" ht="22" customHeight="1">
      <c r="B22" s="7" t="inlineStr">
        <is>
          <t>Bugs Críticos Reportados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2">
        <f>SUM(C22:N22)</f>
        <v/>
      </c>
    </row>
    <row r="23" ht="22" customHeight="1">
      <c r="B23" s="7" t="inlineStr">
        <is>
          <t>Bugs Críticos Resolvidos</t>
        </is>
      </c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2">
        <f>SUM(C23:N23)</f>
        <v/>
      </c>
    </row>
    <row r="24" ht="22" customHeight="1">
      <c r="B24" s="7" t="inlineStr">
        <is>
          <t>Features Lançadas no Mês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2">
        <f>SUM(C24:N24)</f>
        <v/>
      </c>
    </row>
  </sheetData>
  <mergeCells count="6">
    <mergeCell ref="B6:O6"/>
    <mergeCell ref="B2:O2"/>
    <mergeCell ref="B15:O15"/>
    <mergeCell ref="B11:O11"/>
    <mergeCell ref="B3:O3"/>
    <mergeCell ref="B20:O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6" customHeight="1">
      <c r="B2" s="15" t="inlineStr">
        <is>
          <t>🤝 COMERCIAL B2B — Marcelo Câmara</t>
        </is>
      </c>
    </row>
    <row r="3">
      <c r="B3" s="16" t="inlineStr">
        <is>
          <t>Captação de novos clientes B2B (Sebrae, SATC, PUC, etc), funil e fechamento</t>
        </is>
      </c>
    </row>
    <row r="5" ht="28" customHeight="1">
      <c r="B5" s="5" t="inlineStr">
        <is>
          <t>Indicador</t>
        </is>
      </c>
      <c r="C5" s="5" t="inlineStr">
        <is>
          <t>Jan</t>
        </is>
      </c>
      <c r="D5" s="5" t="inlineStr">
        <is>
          <t>Fev</t>
        </is>
      </c>
      <c r="E5" s="5" t="inlineStr">
        <is>
          <t>Mar</t>
        </is>
      </c>
      <c r="F5" s="5" t="inlineStr">
        <is>
          <t>Abr</t>
        </is>
      </c>
      <c r="G5" s="5" t="inlineStr">
        <is>
          <t>Mai</t>
        </is>
      </c>
      <c r="H5" s="5" t="inlineStr">
        <is>
          <t>Jun</t>
        </is>
      </c>
      <c r="I5" s="5" t="inlineStr">
        <is>
          <t>Jul</t>
        </is>
      </c>
      <c r="J5" s="5" t="inlineStr">
        <is>
          <t>Ago</t>
        </is>
      </c>
      <c r="K5" s="5" t="inlineStr">
        <is>
          <t>Set</t>
        </is>
      </c>
      <c r="L5" s="5" t="inlineStr">
        <is>
          <t>Out</t>
        </is>
      </c>
      <c r="M5" s="5" t="inlineStr">
        <is>
          <t>Nov</t>
        </is>
      </c>
      <c r="N5" s="5" t="inlineStr">
        <is>
          <t>Dez</t>
        </is>
      </c>
      <c r="O5" s="5" t="inlineStr">
        <is>
          <t>Total/Média</t>
        </is>
      </c>
    </row>
    <row r="6" ht="24" customHeight="1">
      <c r="B6" s="17" t="inlineStr">
        <is>
          <t xml:space="preserve">  MARKETING / FUNIL</t>
        </is>
      </c>
    </row>
    <row r="7" ht="22" customHeight="1">
      <c r="B7" s="7" t="inlineStr">
        <is>
          <t>Investimento ADS (R$)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2">
        <f>SUM(C7:N7)</f>
        <v/>
      </c>
    </row>
    <row r="8" ht="22" customHeight="1">
      <c r="B8" s="7" t="inlineStr">
        <is>
          <t>Leads Gerados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2">
        <f>SUM(C8:N8)</f>
        <v/>
      </c>
    </row>
    <row r="9" ht="22" customHeight="1">
      <c r="B9" s="7" t="inlineStr">
        <is>
          <t>MQLs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2">
        <f>SUM(C9:N9)</f>
        <v/>
      </c>
    </row>
    <row r="10" ht="22" customHeight="1">
      <c r="B10" s="7" t="inlineStr">
        <is>
          <t>SQLs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2">
        <f>SUM(C10:N10)</f>
        <v/>
      </c>
    </row>
    <row r="11" ht="22" customHeight="1">
      <c r="B11" s="7" t="inlineStr">
        <is>
          <t>CAC (auto)</t>
        </is>
      </c>
      <c r="C11" s="23">
        <f>IFERROR(C7/C17,0)</f>
        <v/>
      </c>
      <c r="D11" s="23">
        <f>IFERROR(D7/D17,0)</f>
        <v/>
      </c>
      <c r="E11" s="23">
        <f>IFERROR(E7/E17,0)</f>
        <v/>
      </c>
      <c r="F11" s="23">
        <f>IFERROR(F7/F17,0)</f>
        <v/>
      </c>
      <c r="G11" s="23">
        <f>IFERROR(G7/G17,0)</f>
        <v/>
      </c>
      <c r="H11" s="23">
        <f>IFERROR(H7/H17,0)</f>
        <v/>
      </c>
      <c r="I11" s="23">
        <f>IFERROR(I7/I17,0)</f>
        <v/>
      </c>
      <c r="J11" s="23">
        <f>IFERROR(J7/J17,0)</f>
        <v/>
      </c>
      <c r="K11" s="23">
        <f>IFERROR(K7/K17,0)</f>
        <v/>
      </c>
      <c r="L11" s="23">
        <f>IFERROR(L7/L17,0)</f>
        <v/>
      </c>
      <c r="M11" s="23">
        <f>IFERROR(M7/M17,0)</f>
        <v/>
      </c>
      <c r="N11" s="23">
        <f>IFERROR(N7/N17,0)</f>
        <v/>
      </c>
      <c r="O11" s="22">
        <f>IFERROR(SUM(C7:N7)/SUM(C17:N17),0)</f>
        <v/>
      </c>
    </row>
    <row r="13" ht="24" customHeight="1">
      <c r="B13" s="17" t="inlineStr">
        <is>
          <t xml:space="preserve">  PIPELINE &amp; VENDAS</t>
        </is>
      </c>
    </row>
    <row r="14" ht="22" customHeight="1">
      <c r="B14" s="7" t="inlineStr">
        <is>
          <t>Pipeline Ativo (R$)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>
        <f>SUM(C14:N14)</f>
        <v/>
      </c>
    </row>
    <row r="15" ht="22" customHeight="1">
      <c r="B15" s="7" t="inlineStr">
        <is>
          <t>Novos Leads B2B no Mês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2">
        <f>SUM(C15:N15)</f>
        <v/>
      </c>
    </row>
    <row r="16" ht="22" customHeight="1">
      <c r="B16" s="7" t="inlineStr">
        <is>
          <t>Propostas Enviadas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2">
        <f>SUM(C16:N16)</f>
        <v/>
      </c>
    </row>
    <row r="17" ht="22" customHeight="1">
      <c r="B17" s="7" t="inlineStr">
        <is>
          <t>Contratos Fechados (qtd)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2">
        <f>SUM(C17:N17)</f>
        <v/>
      </c>
    </row>
    <row r="18" ht="22" customHeight="1">
      <c r="B18" s="7" t="inlineStr">
        <is>
          <t>Receita B2B Vendida (R$)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2">
        <f>SUM(C18:N18)</f>
        <v/>
      </c>
    </row>
    <row r="19" ht="22" customHeight="1">
      <c r="B19" s="7" t="inlineStr">
        <is>
          <t>Ticket Médio B2B (auto)</t>
        </is>
      </c>
      <c r="C19" s="23">
        <f>IFERROR(C18/C17,0)</f>
        <v/>
      </c>
      <c r="D19" s="23">
        <f>IFERROR(D18/D17,0)</f>
        <v/>
      </c>
      <c r="E19" s="23">
        <f>IFERROR(E18/E17,0)</f>
        <v/>
      </c>
      <c r="F19" s="23">
        <f>IFERROR(F18/F17,0)</f>
        <v/>
      </c>
      <c r="G19" s="23">
        <f>IFERROR(G18/G17,0)</f>
        <v/>
      </c>
      <c r="H19" s="23">
        <f>IFERROR(H18/H17,0)</f>
        <v/>
      </c>
      <c r="I19" s="23">
        <f>IFERROR(I18/I17,0)</f>
        <v/>
      </c>
      <c r="J19" s="23">
        <f>IFERROR(J18/J17,0)</f>
        <v/>
      </c>
      <c r="K19" s="23">
        <f>IFERROR(K18/K17,0)</f>
        <v/>
      </c>
      <c r="L19" s="23">
        <f>IFERROR(L18/L17,0)</f>
        <v/>
      </c>
      <c r="M19" s="23">
        <f>IFERROR(M18/M17,0)</f>
        <v/>
      </c>
      <c r="N19" s="23">
        <f>IFERROR(N18/N17,0)</f>
        <v/>
      </c>
      <c r="O19" s="22">
        <f>IFERROR(SUM(C18:N18)/SUM(C17:N17),0)</f>
        <v/>
      </c>
    </row>
    <row r="20" ht="22" customHeight="1">
      <c r="B20" s="7" t="inlineStr">
        <is>
          <t>Taxa de Fechamento (auto)</t>
        </is>
      </c>
      <c r="C20" s="24">
        <f>IFERROR(C17/C10,0)</f>
        <v/>
      </c>
      <c r="D20" s="24">
        <f>IFERROR(D17/D10,0)</f>
        <v/>
      </c>
      <c r="E20" s="24">
        <f>IFERROR(E17/E10,0)</f>
        <v/>
      </c>
      <c r="F20" s="24">
        <f>IFERROR(F17/F10,0)</f>
        <v/>
      </c>
      <c r="G20" s="24">
        <f>IFERROR(G17/G10,0)</f>
        <v/>
      </c>
      <c r="H20" s="24">
        <f>IFERROR(H17/H10,0)</f>
        <v/>
      </c>
      <c r="I20" s="24">
        <f>IFERROR(I17/I10,0)</f>
        <v/>
      </c>
      <c r="J20" s="24">
        <f>IFERROR(J17/J10,0)</f>
        <v/>
      </c>
      <c r="K20" s="24">
        <f>IFERROR(K17/K10,0)</f>
        <v/>
      </c>
      <c r="L20" s="24">
        <f>IFERROR(L17/L10,0)</f>
        <v/>
      </c>
      <c r="M20" s="24">
        <f>IFERROR(M17/M10,0)</f>
        <v/>
      </c>
      <c r="N20" s="24">
        <f>IFERROR(N17/N10,0)</f>
        <v/>
      </c>
      <c r="O20" s="20">
        <f>IFERROR(AVERAGE(C20:N20),0)</f>
        <v/>
      </c>
    </row>
    <row r="21" ht="22" customHeight="1">
      <c r="B21" s="7" t="inlineStr">
        <is>
          <t>Ciclo Médio de Venda (dias)</t>
        </is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2">
        <f>IFERROR(AVERAGE(C21:N21),0)</f>
        <v/>
      </c>
    </row>
  </sheetData>
  <mergeCells count="4">
    <mergeCell ref="B13:O13"/>
    <mergeCell ref="B3:O3"/>
    <mergeCell ref="B2:O2"/>
    <mergeCell ref="B6:O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6" customHeight="1">
      <c r="B2" s="15" t="inlineStr">
        <is>
          <t>📋 LICITAÇÕES — Rafael Peck</t>
        </is>
      </c>
    </row>
    <row r="3">
      <c r="B3" s="16" t="inlineStr">
        <is>
          <t>Receita via editais públicos · pipeline, prestação de contas e operacional</t>
        </is>
      </c>
    </row>
    <row r="5" ht="28" customHeight="1">
      <c r="B5" s="5" t="inlineStr">
        <is>
          <t>Indicador</t>
        </is>
      </c>
      <c r="C5" s="5" t="inlineStr">
        <is>
          <t>Jan</t>
        </is>
      </c>
      <c r="D5" s="5" t="inlineStr">
        <is>
          <t>Fev</t>
        </is>
      </c>
      <c r="E5" s="5" t="inlineStr">
        <is>
          <t>Mar</t>
        </is>
      </c>
      <c r="F5" s="5" t="inlineStr">
        <is>
          <t>Abr</t>
        </is>
      </c>
      <c r="G5" s="5" t="inlineStr">
        <is>
          <t>Mai</t>
        </is>
      </c>
      <c r="H5" s="5" t="inlineStr">
        <is>
          <t>Jun</t>
        </is>
      </c>
      <c r="I5" s="5" t="inlineStr">
        <is>
          <t>Jul</t>
        </is>
      </c>
      <c r="J5" s="5" t="inlineStr">
        <is>
          <t>Ago</t>
        </is>
      </c>
      <c r="K5" s="5" t="inlineStr">
        <is>
          <t>Set</t>
        </is>
      </c>
      <c r="L5" s="5" t="inlineStr">
        <is>
          <t>Out</t>
        </is>
      </c>
      <c r="M5" s="5" t="inlineStr">
        <is>
          <t>Nov</t>
        </is>
      </c>
      <c r="N5" s="5" t="inlineStr">
        <is>
          <t>Dez</t>
        </is>
      </c>
      <c r="O5" s="5" t="inlineStr">
        <is>
          <t>Total/Média</t>
        </is>
      </c>
    </row>
    <row r="6" ht="24" customHeight="1">
      <c r="B6" s="17" t="inlineStr">
        <is>
          <t xml:space="preserve">  PIPELINE DE EDITAIS</t>
        </is>
      </c>
    </row>
    <row r="7" ht="22" customHeight="1">
      <c r="B7" s="7" t="inlineStr">
        <is>
          <t>Editais Monitorados</t>
        </is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2">
        <f>SUM(C7:N7)</f>
        <v/>
      </c>
    </row>
    <row r="8" ht="22" customHeight="1">
      <c r="B8" s="7" t="inlineStr">
        <is>
          <t>Editais Submetidos no Mês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2">
        <f>SUM(C8:N8)</f>
        <v/>
      </c>
    </row>
    <row r="9" ht="22" customHeight="1">
      <c r="B9" s="7" t="inlineStr">
        <is>
          <t>Editais Ganhos no Mês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2">
        <f>SUM(C9:N9)</f>
        <v/>
      </c>
    </row>
    <row r="10" ht="22" customHeight="1">
      <c r="B10" s="7" t="inlineStr">
        <is>
          <t>Taxa de Êxito (auto)</t>
        </is>
      </c>
      <c r="C10" s="24">
        <f>IFERROR(C9/C8,0)</f>
        <v/>
      </c>
      <c r="D10" s="24">
        <f>IFERROR(D9/D8,0)</f>
        <v/>
      </c>
      <c r="E10" s="24">
        <f>IFERROR(E9/E8,0)</f>
        <v/>
      </c>
      <c r="F10" s="24">
        <f>IFERROR(F9/F8,0)</f>
        <v/>
      </c>
      <c r="G10" s="24">
        <f>IFERROR(G9/G8,0)</f>
        <v/>
      </c>
      <c r="H10" s="24">
        <f>IFERROR(H9/H8,0)</f>
        <v/>
      </c>
      <c r="I10" s="24">
        <f>IFERROR(I9/I8,0)</f>
        <v/>
      </c>
      <c r="J10" s="24">
        <f>IFERROR(J9/J8,0)</f>
        <v/>
      </c>
      <c r="K10" s="24">
        <f>IFERROR(K9/K8,0)</f>
        <v/>
      </c>
      <c r="L10" s="24">
        <f>IFERROR(L9/L8,0)</f>
        <v/>
      </c>
      <c r="M10" s="24">
        <f>IFERROR(M9/M8,0)</f>
        <v/>
      </c>
      <c r="N10" s="24">
        <f>IFERROR(N9/N8,0)</f>
        <v/>
      </c>
      <c r="O10" s="20">
        <f>IFERROR(AVERAGE(C10:N10),0)</f>
        <v/>
      </c>
    </row>
    <row r="12" ht="24" customHeight="1">
      <c r="B12" s="17" t="inlineStr">
        <is>
          <t xml:space="preserve">  RECEITA (VENDIDA NO MÊS)</t>
        </is>
      </c>
    </row>
    <row r="13" ht="22" customHeight="1">
      <c r="B13" s="7" t="inlineStr">
        <is>
          <t>Receita de Editais Ganhos (R$)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2">
        <f>SUM(C13:N13)</f>
        <v/>
      </c>
    </row>
    <row r="14" ht="22" customHeight="1">
      <c r="B14" s="7" t="inlineStr">
        <is>
          <t>Valor Total Pipeline de Editais (R$)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>
        <f>SUM(C14:N14)</f>
        <v/>
      </c>
    </row>
    <row r="16" ht="24" customHeight="1">
      <c r="B16" s="17" t="inlineStr">
        <is>
          <t xml:space="preserve">  PRESTAÇÃO DE CONTAS</t>
        </is>
      </c>
    </row>
    <row r="17" ht="22" customHeight="1">
      <c r="B17" s="7" t="inlineStr">
        <is>
          <t>Contratos Vigentes em Execução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2">
        <f>SUM(C17:N17)</f>
        <v/>
      </c>
    </row>
    <row r="18" ht="22" customHeight="1">
      <c r="B18" s="7" t="inlineStr">
        <is>
          <t>Prestações de Contas Entregues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2">
        <f>SUM(C18:N18)</f>
        <v/>
      </c>
    </row>
    <row r="19" ht="22" customHeight="1">
      <c r="B19" s="7" t="inlineStr">
        <is>
          <t>Prestações Pendentes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2">
        <f>SUM(C19:N19)</f>
        <v/>
      </c>
    </row>
    <row r="20" ht="22" customHeight="1">
      <c r="B20" s="7" t="inlineStr">
        <is>
          <t>Prestações em Atraso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2">
        <f>SUM(C20:N20)</f>
        <v/>
      </c>
    </row>
    <row r="22" ht="24" customHeight="1">
      <c r="B22" s="17" t="inlineStr">
        <is>
          <t xml:space="preserve">  OPERACIONAL</t>
        </is>
      </c>
    </row>
    <row r="23" ht="22" customHeight="1">
      <c r="B23" s="7" t="inlineStr">
        <is>
          <t>TRs em Aprovação</t>
        </is>
      </c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2">
        <f>SUM(C23:N23)</f>
        <v/>
      </c>
    </row>
    <row r="24" ht="22" customHeight="1">
      <c r="B24" s="7" t="inlineStr">
        <is>
          <t>Follow-ups Agendados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2">
        <f>SUM(C24:N24)</f>
        <v/>
      </c>
    </row>
  </sheetData>
  <mergeCells count="6">
    <mergeCell ref="B12:O12"/>
    <mergeCell ref="B6:O6"/>
    <mergeCell ref="B16:O16"/>
    <mergeCell ref="B2:O2"/>
    <mergeCell ref="B3:O3"/>
    <mergeCell ref="B22:O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6" customHeight="1">
      <c r="B2" s="15" t="inlineStr">
        <is>
          <t>💰 FINANCEIRO — Luana / Financeiro</t>
        </is>
      </c>
    </row>
    <row r="3">
      <c r="B3" s="16" t="inlineStr">
        <is>
          <t>Caixa, recebimentos efetivos, despesas e indicadores · preenchido após áreas</t>
        </is>
      </c>
    </row>
    <row r="5" ht="28" customHeight="1">
      <c r="B5" s="5" t="inlineStr">
        <is>
          <t>Indicador</t>
        </is>
      </c>
      <c r="C5" s="5" t="inlineStr">
        <is>
          <t>Jan</t>
        </is>
      </c>
      <c r="D5" s="5" t="inlineStr">
        <is>
          <t>Fev</t>
        </is>
      </c>
      <c r="E5" s="5" t="inlineStr">
        <is>
          <t>Mar</t>
        </is>
      </c>
      <c r="F5" s="5" t="inlineStr">
        <is>
          <t>Abr</t>
        </is>
      </c>
      <c r="G5" s="5" t="inlineStr">
        <is>
          <t>Mai</t>
        </is>
      </c>
      <c r="H5" s="5" t="inlineStr">
        <is>
          <t>Jun</t>
        </is>
      </c>
      <c r="I5" s="5" t="inlineStr">
        <is>
          <t>Jul</t>
        </is>
      </c>
      <c r="J5" s="5" t="inlineStr">
        <is>
          <t>Ago</t>
        </is>
      </c>
      <c r="K5" s="5" t="inlineStr">
        <is>
          <t>Set</t>
        </is>
      </c>
      <c r="L5" s="5" t="inlineStr">
        <is>
          <t>Out</t>
        </is>
      </c>
      <c r="M5" s="5" t="inlineStr">
        <is>
          <t>Nov</t>
        </is>
      </c>
      <c r="N5" s="5" t="inlineStr">
        <is>
          <t>Dez</t>
        </is>
      </c>
      <c r="O5" s="5" t="inlineStr">
        <is>
          <t>Total/Média</t>
        </is>
      </c>
    </row>
    <row r="6" ht="24" customHeight="1">
      <c r="B6" s="17" t="inlineStr">
        <is>
          <t xml:space="preserve">  CAIXA &amp; RECEBIMENTOS</t>
        </is>
      </c>
    </row>
    <row r="7" ht="22" customHeight="1">
      <c r="B7" s="7" t="inlineStr">
        <is>
          <t>Saldo Inicial de Caixa (R$)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2">
        <f>SUM(C7:N7)</f>
        <v/>
      </c>
    </row>
    <row r="8" ht="22" customHeight="1">
      <c r="B8" s="7" t="inlineStr">
        <is>
          <t>Recebimentos B2B (R$)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2">
        <f>SUM(C8:N8)</f>
        <v/>
      </c>
    </row>
    <row r="9" ht="22" customHeight="1">
      <c r="B9" s="7" t="inlineStr">
        <is>
          <t>Recebimentos Produto/B2C (R$)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2">
        <f>SUM(C9:N9)</f>
        <v/>
      </c>
    </row>
    <row r="10" ht="22" customHeight="1">
      <c r="B10" s="7" t="inlineStr">
        <is>
          <t>Recebimentos de Editais (R$)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2">
        <f>SUM(C10:N10)</f>
        <v/>
      </c>
    </row>
    <row r="11" ht="22" customHeight="1">
      <c r="B11" s="7" t="inlineStr">
        <is>
          <t>Outras Receitas (R$)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2">
        <f>SUM(C11:N11)</f>
        <v/>
      </c>
    </row>
    <row r="12" ht="22" customHeight="1">
      <c r="B12" s="7" t="inlineStr">
        <is>
          <t>Recebimentos Totais (auto)</t>
        </is>
      </c>
      <c r="C12" s="23">
        <f>SUM(C8:C11)</f>
        <v/>
      </c>
      <c r="D12" s="23">
        <f>SUM(D8:D11)</f>
        <v/>
      </c>
      <c r="E12" s="23">
        <f>SUM(E8:E11)</f>
        <v/>
      </c>
      <c r="F12" s="23">
        <f>SUM(F8:F11)</f>
        <v/>
      </c>
      <c r="G12" s="23">
        <f>SUM(G8:G11)</f>
        <v/>
      </c>
      <c r="H12" s="23">
        <f>SUM(H8:H11)</f>
        <v/>
      </c>
      <c r="I12" s="23">
        <f>SUM(I8:I11)</f>
        <v/>
      </c>
      <c r="J12" s="23">
        <f>SUM(J8:J11)</f>
        <v/>
      </c>
      <c r="K12" s="23">
        <f>SUM(K8:K11)</f>
        <v/>
      </c>
      <c r="L12" s="23">
        <f>SUM(L8:L11)</f>
        <v/>
      </c>
      <c r="M12" s="23">
        <f>SUM(M8:M11)</f>
        <v/>
      </c>
      <c r="N12" s="23">
        <f>SUM(N8:N11)</f>
        <v/>
      </c>
      <c r="O12" s="22">
        <f>SUM(C12:N12)</f>
        <v/>
      </c>
    </row>
    <row r="14" ht="24" customHeight="1">
      <c r="B14" s="17" t="inlineStr">
        <is>
          <t xml:space="preserve">  VENDIDO NO MÊS (consolidado das áreas)</t>
        </is>
      </c>
    </row>
    <row r="15" ht="22" customHeight="1">
      <c r="B15" s="7" t="inlineStr">
        <is>
          <t>Vendido B2B (auto)</t>
        </is>
      </c>
      <c r="C15" s="23">
        <f>'🤝 B2B'!C18</f>
        <v/>
      </c>
      <c r="D15" s="23">
        <f>'🤝 B2B'!D18</f>
        <v/>
      </c>
      <c r="E15" s="23">
        <f>'🤝 B2B'!E18</f>
        <v/>
      </c>
      <c r="F15" s="23">
        <f>'🤝 B2B'!F18</f>
        <v/>
      </c>
      <c r="G15" s="23">
        <f>'🤝 B2B'!G18</f>
        <v/>
      </c>
      <c r="H15" s="23">
        <f>'🤝 B2B'!H18</f>
        <v/>
      </c>
      <c r="I15" s="23">
        <f>'🤝 B2B'!I18</f>
        <v/>
      </c>
      <c r="J15" s="23">
        <f>'🤝 B2B'!J18</f>
        <v/>
      </c>
      <c r="K15" s="23">
        <f>'🤝 B2B'!K18</f>
        <v/>
      </c>
      <c r="L15" s="23">
        <f>'🤝 B2B'!L18</f>
        <v/>
      </c>
      <c r="M15" s="23">
        <f>'🤝 B2B'!M18</f>
        <v/>
      </c>
      <c r="N15" s="23">
        <f>'🤝 B2B'!N18</f>
        <v/>
      </c>
      <c r="O15" s="22">
        <f>SUM(C15:N15)</f>
        <v/>
      </c>
    </row>
    <row r="16" ht="22" customHeight="1">
      <c r="B16" s="7" t="inlineStr">
        <is>
          <t>Vendido Produto (auto)</t>
        </is>
      </c>
      <c r="C16" s="23">
        <f>'🛠 Produto'!C18</f>
        <v/>
      </c>
      <c r="D16" s="23">
        <f>'🛠 Produto'!D18</f>
        <v/>
      </c>
      <c r="E16" s="23">
        <f>'🛠 Produto'!E18</f>
        <v/>
      </c>
      <c r="F16" s="23">
        <f>'🛠 Produto'!F18</f>
        <v/>
      </c>
      <c r="G16" s="23">
        <f>'🛠 Produto'!G18</f>
        <v/>
      </c>
      <c r="H16" s="23">
        <f>'🛠 Produto'!H18</f>
        <v/>
      </c>
      <c r="I16" s="23">
        <f>'🛠 Produto'!I18</f>
        <v/>
      </c>
      <c r="J16" s="23">
        <f>'🛠 Produto'!J18</f>
        <v/>
      </c>
      <c r="K16" s="23">
        <f>'🛠 Produto'!K18</f>
        <v/>
      </c>
      <c r="L16" s="23">
        <f>'🛠 Produto'!L18</f>
        <v/>
      </c>
      <c r="M16" s="23">
        <f>'🛠 Produto'!M18</f>
        <v/>
      </c>
      <c r="N16" s="23">
        <f>'🛠 Produto'!N18</f>
        <v/>
      </c>
      <c r="O16" s="22">
        <f>SUM(C16:N16)</f>
        <v/>
      </c>
    </row>
    <row r="17" ht="22" customHeight="1">
      <c r="B17" s="7" t="inlineStr">
        <is>
          <t>Vendido Licitações (auto)</t>
        </is>
      </c>
      <c r="C17" s="23">
        <f>'📋 Licitações'!C13</f>
        <v/>
      </c>
      <c r="D17" s="23">
        <f>'📋 Licitações'!D13</f>
        <v/>
      </c>
      <c r="E17" s="23">
        <f>'📋 Licitações'!E13</f>
        <v/>
      </c>
      <c r="F17" s="23">
        <f>'📋 Licitações'!F13</f>
        <v/>
      </c>
      <c r="G17" s="23">
        <f>'📋 Licitações'!G13</f>
        <v/>
      </c>
      <c r="H17" s="23">
        <f>'📋 Licitações'!H13</f>
        <v/>
      </c>
      <c r="I17" s="23">
        <f>'📋 Licitações'!I13</f>
        <v/>
      </c>
      <c r="J17" s="23">
        <f>'📋 Licitações'!J13</f>
        <v/>
      </c>
      <c r="K17" s="23">
        <f>'📋 Licitações'!K13</f>
        <v/>
      </c>
      <c r="L17" s="23">
        <f>'📋 Licitações'!L13</f>
        <v/>
      </c>
      <c r="M17" s="23">
        <f>'📋 Licitações'!M13</f>
        <v/>
      </c>
      <c r="N17" s="23">
        <f>'📋 Licitações'!N13</f>
        <v/>
      </c>
      <c r="O17" s="22">
        <f>SUM(C17:N17)</f>
        <v/>
      </c>
    </row>
    <row r="18" ht="22" customHeight="1">
      <c r="B18" s="7" t="inlineStr">
        <is>
          <t>Total Vendido no Mês (auto)</t>
        </is>
      </c>
      <c r="C18" s="23">
        <f>SUM(C15:C17)</f>
        <v/>
      </c>
      <c r="D18" s="23">
        <f>SUM(D15:D17)</f>
        <v/>
      </c>
      <c r="E18" s="23">
        <f>SUM(E15:E17)</f>
        <v/>
      </c>
      <c r="F18" s="23">
        <f>SUM(F15:F17)</f>
        <v/>
      </c>
      <c r="G18" s="23">
        <f>SUM(G15:G17)</f>
        <v/>
      </c>
      <c r="H18" s="23">
        <f>SUM(H15:H17)</f>
        <v/>
      </c>
      <c r="I18" s="23">
        <f>SUM(I15:I17)</f>
        <v/>
      </c>
      <c r="J18" s="23">
        <f>SUM(J15:J17)</f>
        <v/>
      </c>
      <c r="K18" s="23">
        <f>SUM(K15:K17)</f>
        <v/>
      </c>
      <c r="L18" s="23">
        <f>SUM(L15:L17)</f>
        <v/>
      </c>
      <c r="M18" s="23">
        <f>SUM(M15:M17)</f>
        <v/>
      </c>
      <c r="N18" s="23">
        <f>SUM(N15:N17)</f>
        <v/>
      </c>
      <c r="O18" s="22">
        <f>SUM(C18:N18)</f>
        <v/>
      </c>
    </row>
    <row r="20" ht="24" customHeight="1">
      <c r="B20" s="17" t="inlineStr">
        <is>
          <t xml:space="preserve">  DESPESAS</t>
        </is>
      </c>
    </row>
    <row r="21" ht="22" customHeight="1">
      <c r="B21" s="7" t="inlineStr">
        <is>
          <t>Folha &amp; RH (R$)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2">
        <f>SUM(C21:N21)</f>
        <v/>
      </c>
    </row>
    <row r="22" ht="22" customHeight="1">
      <c r="B22" s="7" t="inlineStr">
        <is>
          <t>Marketing/ADS (R$)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2">
        <f>SUM(C22:N22)</f>
        <v/>
      </c>
    </row>
    <row r="23" ht="22" customHeight="1">
      <c r="B23" s="7" t="inlineStr">
        <is>
          <t>Infra &amp; Tech (R$)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2">
        <f>SUM(C23:N23)</f>
        <v/>
      </c>
    </row>
    <row r="24" ht="22" customHeight="1">
      <c r="B24" s="7" t="inlineStr">
        <is>
          <t>Terceiros &amp; Freelancers (R$)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2">
        <f>SUM(C24:N24)</f>
        <v/>
      </c>
    </row>
    <row r="25" ht="22" customHeight="1">
      <c r="B25" s="7" t="inlineStr">
        <is>
          <t>Outras Despesas (R$)</t>
        </is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2">
        <f>SUM(C25:N25)</f>
        <v/>
      </c>
    </row>
    <row r="26" ht="22" customHeight="1">
      <c r="B26" s="7" t="inlineStr">
        <is>
          <t>Despesas Totais (auto)</t>
        </is>
      </c>
      <c r="C26" s="23">
        <f>SUM(C21:C25)</f>
        <v/>
      </c>
      <c r="D26" s="23">
        <f>SUM(D21:D25)</f>
        <v/>
      </c>
      <c r="E26" s="23">
        <f>SUM(E21:E25)</f>
        <v/>
      </c>
      <c r="F26" s="23">
        <f>SUM(F21:F25)</f>
        <v/>
      </c>
      <c r="G26" s="23">
        <f>SUM(G21:G25)</f>
        <v/>
      </c>
      <c r="H26" s="23">
        <f>SUM(H21:H25)</f>
        <v/>
      </c>
      <c r="I26" s="23">
        <f>SUM(I21:I25)</f>
        <v/>
      </c>
      <c r="J26" s="23">
        <f>SUM(J21:J25)</f>
        <v/>
      </c>
      <c r="K26" s="23">
        <f>SUM(K21:K25)</f>
        <v/>
      </c>
      <c r="L26" s="23">
        <f>SUM(L21:L25)</f>
        <v/>
      </c>
      <c r="M26" s="23">
        <f>SUM(M21:M25)</f>
        <v/>
      </c>
      <c r="N26" s="23">
        <f>SUM(N21:N25)</f>
        <v/>
      </c>
      <c r="O26" s="22">
        <f>SUM(C26:N26)</f>
        <v/>
      </c>
    </row>
    <row r="28" ht="24" customHeight="1">
      <c r="B28" s="17" t="inlineStr">
        <is>
          <t xml:space="preserve">  RESULTADO &amp; INDICADORES</t>
        </is>
      </c>
    </row>
    <row r="29" ht="22" customHeight="1">
      <c r="B29" s="7" t="inlineStr">
        <is>
          <t>Resultado do Mês (auto)</t>
        </is>
      </c>
      <c r="C29" s="23">
        <f>C12-C26</f>
        <v/>
      </c>
      <c r="D29" s="23">
        <f>D12-D26</f>
        <v/>
      </c>
      <c r="E29" s="23">
        <f>E12-E26</f>
        <v/>
      </c>
      <c r="F29" s="23">
        <f>F12-F26</f>
        <v/>
      </c>
      <c r="G29" s="23">
        <f>G12-G26</f>
        <v/>
      </c>
      <c r="H29" s="23">
        <f>H12-H26</f>
        <v/>
      </c>
      <c r="I29" s="23">
        <f>I12-I26</f>
        <v/>
      </c>
      <c r="J29" s="23">
        <f>J12-J26</f>
        <v/>
      </c>
      <c r="K29" s="23">
        <f>K12-K26</f>
        <v/>
      </c>
      <c r="L29" s="23">
        <f>L12-L26</f>
        <v/>
      </c>
      <c r="M29" s="23">
        <f>M12-M26</f>
        <v/>
      </c>
      <c r="N29" s="23">
        <f>N12-N26</f>
        <v/>
      </c>
      <c r="O29" s="22">
        <f>SUM(C29:N29)</f>
        <v/>
      </c>
    </row>
    <row r="30" ht="22" customHeight="1">
      <c r="B30" s="7" t="inlineStr">
        <is>
          <t>Burn Rate (auto)</t>
        </is>
      </c>
      <c r="C30" s="23">
        <f>IF(C29&lt;0,-C29,0)</f>
        <v/>
      </c>
      <c r="D30" s="23">
        <f>IF(D29&lt;0,-D29,0)</f>
        <v/>
      </c>
      <c r="E30" s="23">
        <f>IF(E29&lt;0,-E29,0)</f>
        <v/>
      </c>
      <c r="F30" s="23">
        <f>IF(F29&lt;0,-F29,0)</f>
        <v/>
      </c>
      <c r="G30" s="23">
        <f>IF(G29&lt;0,-G29,0)</f>
        <v/>
      </c>
      <c r="H30" s="23">
        <f>IF(H29&lt;0,-H29,0)</f>
        <v/>
      </c>
      <c r="I30" s="23">
        <f>IF(I29&lt;0,-I29,0)</f>
        <v/>
      </c>
      <c r="J30" s="23">
        <f>IF(J29&lt;0,-J29,0)</f>
        <v/>
      </c>
      <c r="K30" s="23">
        <f>IF(K29&lt;0,-K29,0)</f>
        <v/>
      </c>
      <c r="L30" s="23">
        <f>IF(L29&lt;0,-L29,0)</f>
        <v/>
      </c>
      <c r="M30" s="23">
        <f>IF(M29&lt;0,-M29,0)</f>
        <v/>
      </c>
      <c r="N30" s="23">
        <f>IF(N29&lt;0,-N29,0)</f>
        <v/>
      </c>
      <c r="O30" s="22">
        <f>SUM(C30:N30)</f>
        <v/>
      </c>
    </row>
    <row r="31" ht="22" customHeight="1">
      <c r="B31" s="7" t="inlineStr">
        <is>
          <t>Runway (meses, auto)</t>
        </is>
      </c>
      <c r="C31" s="25">
        <f>IFERROR(C7/C30,0)</f>
        <v/>
      </c>
      <c r="D31" s="25">
        <f>IFERROR(D7/D30,0)</f>
        <v/>
      </c>
      <c r="E31" s="25">
        <f>IFERROR(E7/E30,0)</f>
        <v/>
      </c>
      <c r="F31" s="25">
        <f>IFERROR(F7/F30,0)</f>
        <v/>
      </c>
      <c r="G31" s="25">
        <f>IFERROR(G7/G30,0)</f>
        <v/>
      </c>
      <c r="H31" s="25">
        <f>IFERROR(H7/H30,0)</f>
        <v/>
      </c>
      <c r="I31" s="25">
        <f>IFERROR(I7/I30,0)</f>
        <v/>
      </c>
      <c r="J31" s="25">
        <f>IFERROR(J7/J30,0)</f>
        <v/>
      </c>
      <c r="K31" s="25">
        <f>IFERROR(K7/K30,0)</f>
        <v/>
      </c>
      <c r="L31" s="25">
        <f>IFERROR(L7/L30,0)</f>
        <v/>
      </c>
      <c r="M31" s="25">
        <f>IFERROR(M7/M30,0)</f>
        <v/>
      </c>
      <c r="N31" s="25">
        <f>IFERROR(N7/N30,0)</f>
        <v/>
      </c>
      <c r="O31" s="26">
        <f>IFERROR(AVERAGE(C31:N31),0)</f>
        <v/>
      </c>
    </row>
    <row r="32" ht="22" customHeight="1">
      <c r="B32" s="7" t="inlineStr">
        <is>
          <t>Margem (%, auto)</t>
        </is>
      </c>
      <c r="C32" s="24">
        <f>IFERROR(C29/C12,0)</f>
        <v/>
      </c>
      <c r="D32" s="24">
        <f>IFERROR(D29/D12,0)</f>
        <v/>
      </c>
      <c r="E32" s="24">
        <f>IFERROR(E29/E12,0)</f>
        <v/>
      </c>
      <c r="F32" s="24">
        <f>IFERROR(F29/F12,0)</f>
        <v/>
      </c>
      <c r="G32" s="24">
        <f>IFERROR(G29/G12,0)</f>
        <v/>
      </c>
      <c r="H32" s="24">
        <f>IFERROR(H29/H12,0)</f>
        <v/>
      </c>
      <c r="I32" s="24">
        <f>IFERROR(I29/I12,0)</f>
        <v/>
      </c>
      <c r="J32" s="24">
        <f>IFERROR(J29/J12,0)</f>
        <v/>
      </c>
      <c r="K32" s="24">
        <f>IFERROR(K29/K12,0)</f>
        <v/>
      </c>
      <c r="L32" s="24">
        <f>IFERROR(L29/L12,0)</f>
        <v/>
      </c>
      <c r="M32" s="24">
        <f>IFERROR(M29/M12,0)</f>
        <v/>
      </c>
      <c r="N32" s="24">
        <f>IFERROR(N29/N12,0)</f>
        <v/>
      </c>
      <c r="O32" s="20">
        <f>IFERROR(AVERAGE(C32:N32),0)</f>
        <v/>
      </c>
    </row>
    <row r="33" ht="22" customHeight="1">
      <c r="B33" s="7" t="inlineStr">
        <is>
          <t>Contas a Receber (R$)</t>
        </is>
      </c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2">
        <f>SUM(C33:N33)</f>
        <v/>
      </c>
    </row>
    <row r="34" ht="22" customHeight="1">
      <c r="B34" s="7" t="inlineStr">
        <is>
          <t>Inadimplência (R$)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2">
        <f>SUM(C34:N34)</f>
        <v/>
      </c>
    </row>
    <row r="36" ht="24" customHeight="1">
      <c r="B36" s="17" t="inlineStr">
        <is>
          <t xml:space="preserve">  VENDIDO vs RECEBIDO</t>
        </is>
      </c>
    </row>
    <row r="37" ht="22" customHeight="1">
      <c r="B37" s="7" t="inlineStr">
        <is>
          <t>Gap Vendido−Recebido (auto)</t>
        </is>
      </c>
      <c r="C37" s="23">
        <f>C18-C12</f>
        <v/>
      </c>
      <c r="D37" s="23">
        <f>D18-D12</f>
        <v/>
      </c>
      <c r="E37" s="23">
        <f>E18-E12</f>
        <v/>
      </c>
      <c r="F37" s="23">
        <f>F18-F12</f>
        <v/>
      </c>
      <c r="G37" s="23">
        <f>G18-G12</f>
        <v/>
      </c>
      <c r="H37" s="23">
        <f>H18-H12</f>
        <v/>
      </c>
      <c r="I37" s="23">
        <f>I18-I12</f>
        <v/>
      </c>
      <c r="J37" s="23">
        <f>J18-J12</f>
        <v/>
      </c>
      <c r="K37" s="23">
        <f>K18-K12</f>
        <v/>
      </c>
      <c r="L37" s="23">
        <f>L18-L12</f>
        <v/>
      </c>
      <c r="M37" s="23">
        <f>M18-M12</f>
        <v/>
      </c>
      <c r="N37" s="23">
        <f>N18-N12</f>
        <v/>
      </c>
      <c r="O37" s="22">
        <f>SUM(C37:N37)</f>
        <v/>
      </c>
    </row>
    <row r="38" ht="22" customHeight="1">
      <c r="B38" s="7" t="inlineStr">
        <is>
          <t>% Conversão Venda→Caixa (auto)</t>
        </is>
      </c>
      <c r="C38" s="24">
        <f>IFERROR(C12/C18,0)</f>
        <v/>
      </c>
      <c r="D38" s="24">
        <f>IFERROR(D12/D18,0)</f>
        <v/>
      </c>
      <c r="E38" s="24">
        <f>IFERROR(E12/E18,0)</f>
        <v/>
      </c>
      <c r="F38" s="24">
        <f>IFERROR(F12/F18,0)</f>
        <v/>
      </c>
      <c r="G38" s="24">
        <f>IFERROR(G12/G18,0)</f>
        <v/>
      </c>
      <c r="H38" s="24">
        <f>IFERROR(H12/H18,0)</f>
        <v/>
      </c>
      <c r="I38" s="24">
        <f>IFERROR(I12/I18,0)</f>
        <v/>
      </c>
      <c r="J38" s="24">
        <f>IFERROR(J12/J18,0)</f>
        <v/>
      </c>
      <c r="K38" s="24">
        <f>IFERROR(K12/K18,0)</f>
        <v/>
      </c>
      <c r="L38" s="24">
        <f>IFERROR(L12/L18,0)</f>
        <v/>
      </c>
      <c r="M38" s="24">
        <f>IFERROR(M12/M18,0)</f>
        <v/>
      </c>
      <c r="N38" s="24">
        <f>IFERROR(N12/N18,0)</f>
        <v/>
      </c>
      <c r="O38" s="20">
        <f>IFERROR(AVERAGE(C38:N38),0)</f>
        <v/>
      </c>
    </row>
  </sheetData>
  <mergeCells count="7">
    <mergeCell ref="B6:O6"/>
    <mergeCell ref="B2:O2"/>
    <mergeCell ref="B3:O3"/>
    <mergeCell ref="B20:O20"/>
    <mergeCell ref="B28:O28"/>
    <mergeCell ref="B36:O36"/>
    <mergeCell ref="B14:O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 ht="28" customHeight="1">
      <c r="A1" s="27" t="inlineStr">
        <is>
          <t>chave</t>
        </is>
      </c>
      <c r="B1" s="27" t="inlineStr">
        <is>
          <t>area</t>
        </is>
      </c>
      <c r="C1" s="27" t="inlineStr">
        <is>
          <t>label</t>
        </is>
      </c>
      <c r="D1" s="28" t="inlineStr">
        <is>
          <t>Jan</t>
        </is>
      </c>
      <c r="E1" s="28" t="inlineStr">
        <is>
          <t>Fev</t>
        </is>
      </c>
      <c r="F1" s="28" t="inlineStr">
        <is>
          <t>Mar</t>
        </is>
      </c>
      <c r="G1" s="28" t="inlineStr">
        <is>
          <t>Abr</t>
        </is>
      </c>
      <c r="H1" s="28" t="inlineStr">
        <is>
          <t>Mai</t>
        </is>
      </c>
      <c r="I1" s="28" t="inlineStr">
        <is>
          <t>Jun</t>
        </is>
      </c>
      <c r="J1" s="28" t="inlineStr">
        <is>
          <t>Jul</t>
        </is>
      </c>
      <c r="K1" s="28" t="inlineStr">
        <is>
          <t>Ago</t>
        </is>
      </c>
      <c r="L1" s="28" t="inlineStr">
        <is>
          <t>Set</t>
        </is>
      </c>
      <c r="M1" s="28" t="inlineStr">
        <is>
          <t>Out</t>
        </is>
      </c>
      <c r="N1" s="28" t="inlineStr">
        <is>
          <t>Nov</t>
        </is>
      </c>
      <c r="O1" s="28" t="inlineStr">
        <is>
          <t>Dez</t>
        </is>
      </c>
      <c r="P1" s="28" t="inlineStr">
        <is>
          <t>Total</t>
        </is>
      </c>
    </row>
    <row r="2" ht="20" customHeight="1">
      <c r="A2" s="29" t="inlineStr">
        <is>
          <t>saldo_inicial</t>
        </is>
      </c>
      <c r="B2" s="30" t="inlineStr">
        <is>
          <t>Financeiro</t>
        </is>
      </c>
      <c r="C2" s="30" t="inlineStr">
        <is>
          <t>Saldo Inicial de Caixa</t>
        </is>
      </c>
      <c r="D2" s="23">
        <f>'💰 Financeiro'!C7</f>
        <v/>
      </c>
      <c r="E2" s="23">
        <f>'💰 Financeiro'!D7</f>
        <v/>
      </c>
      <c r="F2" s="23">
        <f>'💰 Financeiro'!E7</f>
        <v/>
      </c>
      <c r="G2" s="23">
        <f>'💰 Financeiro'!F7</f>
        <v/>
      </c>
      <c r="H2" s="23">
        <f>'💰 Financeiro'!G7</f>
        <v/>
      </c>
      <c r="I2" s="23">
        <f>'💰 Financeiro'!H7</f>
        <v/>
      </c>
      <c r="J2" s="23">
        <f>'💰 Financeiro'!I7</f>
        <v/>
      </c>
      <c r="K2" s="23">
        <f>'💰 Financeiro'!J7</f>
        <v/>
      </c>
      <c r="L2" s="23">
        <f>'💰 Financeiro'!K7</f>
        <v/>
      </c>
      <c r="M2" s="23">
        <f>'💰 Financeiro'!L7</f>
        <v/>
      </c>
      <c r="N2" s="23">
        <f>'💰 Financeiro'!M7</f>
        <v/>
      </c>
      <c r="O2" s="23">
        <f>'💰 Financeiro'!N7</f>
        <v/>
      </c>
      <c r="P2" s="22">
        <f>SUM(D2:O2)</f>
        <v/>
      </c>
    </row>
    <row r="3" ht="20" customHeight="1">
      <c r="A3" s="29" t="inlineStr">
        <is>
          <t>receb_b2b</t>
        </is>
      </c>
      <c r="B3" s="30" t="inlineStr">
        <is>
          <t>Financeiro</t>
        </is>
      </c>
      <c r="C3" s="30" t="inlineStr">
        <is>
          <t>Recebimentos B2B</t>
        </is>
      </c>
      <c r="D3" s="23">
        <f>'💰 Financeiro'!C8</f>
        <v/>
      </c>
      <c r="E3" s="23">
        <f>'💰 Financeiro'!D8</f>
        <v/>
      </c>
      <c r="F3" s="23">
        <f>'💰 Financeiro'!E8</f>
        <v/>
      </c>
      <c r="G3" s="23">
        <f>'💰 Financeiro'!F8</f>
        <v/>
      </c>
      <c r="H3" s="23">
        <f>'💰 Financeiro'!G8</f>
        <v/>
      </c>
      <c r="I3" s="23">
        <f>'💰 Financeiro'!H8</f>
        <v/>
      </c>
      <c r="J3" s="23">
        <f>'💰 Financeiro'!I8</f>
        <v/>
      </c>
      <c r="K3" s="23">
        <f>'💰 Financeiro'!J8</f>
        <v/>
      </c>
      <c r="L3" s="23">
        <f>'💰 Financeiro'!K8</f>
        <v/>
      </c>
      <c r="M3" s="23">
        <f>'💰 Financeiro'!L8</f>
        <v/>
      </c>
      <c r="N3" s="23">
        <f>'💰 Financeiro'!M8</f>
        <v/>
      </c>
      <c r="O3" s="23">
        <f>'💰 Financeiro'!N8</f>
        <v/>
      </c>
      <c r="P3" s="22">
        <f>SUM(D3:O3)</f>
        <v/>
      </c>
    </row>
    <row r="4" ht="20" customHeight="1">
      <c r="A4" s="29" t="inlineStr">
        <is>
          <t>receb_produto</t>
        </is>
      </c>
      <c r="B4" s="30" t="inlineStr">
        <is>
          <t>Financeiro</t>
        </is>
      </c>
      <c r="C4" s="30" t="inlineStr">
        <is>
          <t>Recebimentos Produto/B2C</t>
        </is>
      </c>
      <c r="D4" s="23">
        <f>'💰 Financeiro'!C9</f>
        <v/>
      </c>
      <c r="E4" s="23">
        <f>'💰 Financeiro'!D9</f>
        <v/>
      </c>
      <c r="F4" s="23">
        <f>'💰 Financeiro'!E9</f>
        <v/>
      </c>
      <c r="G4" s="23">
        <f>'💰 Financeiro'!F9</f>
        <v/>
      </c>
      <c r="H4" s="23">
        <f>'💰 Financeiro'!G9</f>
        <v/>
      </c>
      <c r="I4" s="23">
        <f>'💰 Financeiro'!H9</f>
        <v/>
      </c>
      <c r="J4" s="23">
        <f>'💰 Financeiro'!I9</f>
        <v/>
      </c>
      <c r="K4" s="23">
        <f>'💰 Financeiro'!J9</f>
        <v/>
      </c>
      <c r="L4" s="23">
        <f>'💰 Financeiro'!K9</f>
        <v/>
      </c>
      <c r="M4" s="23">
        <f>'💰 Financeiro'!L9</f>
        <v/>
      </c>
      <c r="N4" s="23">
        <f>'💰 Financeiro'!M9</f>
        <v/>
      </c>
      <c r="O4" s="23">
        <f>'💰 Financeiro'!N9</f>
        <v/>
      </c>
      <c r="P4" s="22">
        <f>SUM(D4:O4)</f>
        <v/>
      </c>
    </row>
    <row r="5" ht="20" customHeight="1">
      <c r="A5" s="29" t="inlineStr">
        <is>
          <t>receb_editais</t>
        </is>
      </c>
      <c r="B5" s="30" t="inlineStr">
        <is>
          <t>Financeiro</t>
        </is>
      </c>
      <c r="C5" s="30" t="inlineStr">
        <is>
          <t>Recebimentos de Editais</t>
        </is>
      </c>
      <c r="D5" s="23">
        <f>'💰 Financeiro'!C10</f>
        <v/>
      </c>
      <c r="E5" s="23">
        <f>'💰 Financeiro'!D10</f>
        <v/>
      </c>
      <c r="F5" s="23">
        <f>'💰 Financeiro'!E10</f>
        <v/>
      </c>
      <c r="G5" s="23">
        <f>'💰 Financeiro'!F10</f>
        <v/>
      </c>
      <c r="H5" s="23">
        <f>'💰 Financeiro'!G10</f>
        <v/>
      </c>
      <c r="I5" s="23">
        <f>'💰 Financeiro'!H10</f>
        <v/>
      </c>
      <c r="J5" s="23">
        <f>'💰 Financeiro'!I10</f>
        <v/>
      </c>
      <c r="K5" s="23">
        <f>'💰 Financeiro'!J10</f>
        <v/>
      </c>
      <c r="L5" s="23">
        <f>'💰 Financeiro'!K10</f>
        <v/>
      </c>
      <c r="M5" s="23">
        <f>'💰 Financeiro'!L10</f>
        <v/>
      </c>
      <c r="N5" s="23">
        <f>'💰 Financeiro'!M10</f>
        <v/>
      </c>
      <c r="O5" s="23">
        <f>'💰 Financeiro'!N10</f>
        <v/>
      </c>
      <c r="P5" s="22">
        <f>SUM(D5:O5)</f>
        <v/>
      </c>
    </row>
    <row r="6" ht="20" customHeight="1">
      <c r="A6" s="29" t="inlineStr">
        <is>
          <t>receb_outras</t>
        </is>
      </c>
      <c r="B6" s="30" t="inlineStr">
        <is>
          <t>Financeiro</t>
        </is>
      </c>
      <c r="C6" s="30" t="inlineStr">
        <is>
          <t>Outras Receitas</t>
        </is>
      </c>
      <c r="D6" s="23">
        <f>'💰 Financeiro'!C11</f>
        <v/>
      </c>
      <c r="E6" s="23">
        <f>'💰 Financeiro'!D11</f>
        <v/>
      </c>
      <c r="F6" s="23">
        <f>'💰 Financeiro'!E11</f>
        <v/>
      </c>
      <c r="G6" s="23">
        <f>'💰 Financeiro'!F11</f>
        <v/>
      </c>
      <c r="H6" s="23">
        <f>'💰 Financeiro'!G11</f>
        <v/>
      </c>
      <c r="I6" s="23">
        <f>'💰 Financeiro'!H11</f>
        <v/>
      </c>
      <c r="J6" s="23">
        <f>'💰 Financeiro'!I11</f>
        <v/>
      </c>
      <c r="K6" s="23">
        <f>'💰 Financeiro'!J11</f>
        <v/>
      </c>
      <c r="L6" s="23">
        <f>'💰 Financeiro'!K11</f>
        <v/>
      </c>
      <c r="M6" s="23">
        <f>'💰 Financeiro'!L11</f>
        <v/>
      </c>
      <c r="N6" s="23">
        <f>'💰 Financeiro'!M11</f>
        <v/>
      </c>
      <c r="O6" s="23">
        <f>'💰 Financeiro'!N11</f>
        <v/>
      </c>
      <c r="P6" s="22">
        <f>SUM(D6:O6)</f>
        <v/>
      </c>
    </row>
    <row r="7" ht="20" customHeight="1">
      <c r="A7" s="29" t="inlineStr">
        <is>
          <t>receb_total</t>
        </is>
      </c>
      <c r="B7" s="30" t="inlineStr">
        <is>
          <t>Financeiro</t>
        </is>
      </c>
      <c r="C7" s="30" t="inlineStr">
        <is>
          <t>Recebimentos Totais</t>
        </is>
      </c>
      <c r="D7" s="23">
        <f>'💰 Financeiro'!C12</f>
        <v/>
      </c>
      <c r="E7" s="23">
        <f>'💰 Financeiro'!D12</f>
        <v/>
      </c>
      <c r="F7" s="23">
        <f>'💰 Financeiro'!E12</f>
        <v/>
      </c>
      <c r="G7" s="23">
        <f>'💰 Financeiro'!F12</f>
        <v/>
      </c>
      <c r="H7" s="23">
        <f>'💰 Financeiro'!G12</f>
        <v/>
      </c>
      <c r="I7" s="23">
        <f>'💰 Financeiro'!H12</f>
        <v/>
      </c>
      <c r="J7" s="23">
        <f>'💰 Financeiro'!I12</f>
        <v/>
      </c>
      <c r="K7" s="23">
        <f>'💰 Financeiro'!J12</f>
        <v/>
      </c>
      <c r="L7" s="23">
        <f>'💰 Financeiro'!K12</f>
        <v/>
      </c>
      <c r="M7" s="23">
        <f>'💰 Financeiro'!L12</f>
        <v/>
      </c>
      <c r="N7" s="23">
        <f>'💰 Financeiro'!M12</f>
        <v/>
      </c>
      <c r="O7" s="23">
        <f>'💰 Financeiro'!N12</f>
        <v/>
      </c>
      <c r="P7" s="22">
        <f>SUM(D7:O7)</f>
        <v/>
      </c>
    </row>
    <row r="8" ht="20" customHeight="1">
      <c r="A8" s="29" t="inlineStr">
        <is>
          <t>vendido_b2b</t>
        </is>
      </c>
      <c r="B8" s="30" t="inlineStr">
        <is>
          <t>Financeiro</t>
        </is>
      </c>
      <c r="C8" s="30" t="inlineStr">
        <is>
          <t>Vendido B2B</t>
        </is>
      </c>
      <c r="D8" s="23">
        <f>'💰 Financeiro'!C15</f>
        <v/>
      </c>
      <c r="E8" s="23">
        <f>'💰 Financeiro'!D15</f>
        <v/>
      </c>
      <c r="F8" s="23">
        <f>'💰 Financeiro'!E15</f>
        <v/>
      </c>
      <c r="G8" s="23">
        <f>'💰 Financeiro'!F15</f>
        <v/>
      </c>
      <c r="H8" s="23">
        <f>'💰 Financeiro'!G15</f>
        <v/>
      </c>
      <c r="I8" s="23">
        <f>'💰 Financeiro'!H15</f>
        <v/>
      </c>
      <c r="J8" s="23">
        <f>'💰 Financeiro'!I15</f>
        <v/>
      </c>
      <c r="K8" s="23">
        <f>'💰 Financeiro'!J15</f>
        <v/>
      </c>
      <c r="L8" s="23">
        <f>'💰 Financeiro'!K15</f>
        <v/>
      </c>
      <c r="M8" s="23">
        <f>'💰 Financeiro'!L15</f>
        <v/>
      </c>
      <c r="N8" s="23">
        <f>'💰 Financeiro'!M15</f>
        <v/>
      </c>
      <c r="O8" s="23">
        <f>'💰 Financeiro'!N15</f>
        <v/>
      </c>
      <c r="P8" s="22">
        <f>SUM(D8:O8)</f>
        <v/>
      </c>
    </row>
    <row r="9" ht="20" customHeight="1">
      <c r="A9" s="29" t="inlineStr">
        <is>
          <t>vendido_produto</t>
        </is>
      </c>
      <c r="B9" s="30" t="inlineStr">
        <is>
          <t>Financeiro</t>
        </is>
      </c>
      <c r="C9" s="30" t="inlineStr">
        <is>
          <t>Vendido Produto</t>
        </is>
      </c>
      <c r="D9" s="23">
        <f>'💰 Financeiro'!C16</f>
        <v/>
      </c>
      <c r="E9" s="23">
        <f>'💰 Financeiro'!D16</f>
        <v/>
      </c>
      <c r="F9" s="23">
        <f>'💰 Financeiro'!E16</f>
        <v/>
      </c>
      <c r="G9" s="23">
        <f>'💰 Financeiro'!F16</f>
        <v/>
      </c>
      <c r="H9" s="23">
        <f>'💰 Financeiro'!G16</f>
        <v/>
      </c>
      <c r="I9" s="23">
        <f>'💰 Financeiro'!H16</f>
        <v/>
      </c>
      <c r="J9" s="23">
        <f>'💰 Financeiro'!I16</f>
        <v/>
      </c>
      <c r="K9" s="23">
        <f>'💰 Financeiro'!J16</f>
        <v/>
      </c>
      <c r="L9" s="23">
        <f>'💰 Financeiro'!K16</f>
        <v/>
      </c>
      <c r="M9" s="23">
        <f>'💰 Financeiro'!L16</f>
        <v/>
      </c>
      <c r="N9" s="23">
        <f>'💰 Financeiro'!M16</f>
        <v/>
      </c>
      <c r="O9" s="23">
        <f>'💰 Financeiro'!N16</f>
        <v/>
      </c>
      <c r="P9" s="22">
        <f>SUM(D9:O9)</f>
        <v/>
      </c>
    </row>
    <row r="10" ht="20" customHeight="1">
      <c r="A10" s="29" t="inlineStr">
        <is>
          <t>vendido_licit</t>
        </is>
      </c>
      <c r="B10" s="30" t="inlineStr">
        <is>
          <t>Financeiro</t>
        </is>
      </c>
      <c r="C10" s="30" t="inlineStr">
        <is>
          <t>Vendido Licitações</t>
        </is>
      </c>
      <c r="D10" s="23">
        <f>'💰 Financeiro'!C17</f>
        <v/>
      </c>
      <c r="E10" s="23">
        <f>'💰 Financeiro'!D17</f>
        <v/>
      </c>
      <c r="F10" s="23">
        <f>'💰 Financeiro'!E17</f>
        <v/>
      </c>
      <c r="G10" s="23">
        <f>'💰 Financeiro'!F17</f>
        <v/>
      </c>
      <c r="H10" s="23">
        <f>'💰 Financeiro'!G17</f>
        <v/>
      </c>
      <c r="I10" s="23">
        <f>'💰 Financeiro'!H17</f>
        <v/>
      </c>
      <c r="J10" s="23">
        <f>'💰 Financeiro'!I17</f>
        <v/>
      </c>
      <c r="K10" s="23">
        <f>'💰 Financeiro'!J17</f>
        <v/>
      </c>
      <c r="L10" s="23">
        <f>'💰 Financeiro'!K17</f>
        <v/>
      </c>
      <c r="M10" s="23">
        <f>'💰 Financeiro'!L17</f>
        <v/>
      </c>
      <c r="N10" s="23">
        <f>'💰 Financeiro'!M17</f>
        <v/>
      </c>
      <c r="O10" s="23">
        <f>'💰 Financeiro'!N17</f>
        <v/>
      </c>
      <c r="P10" s="22">
        <f>SUM(D10:O10)</f>
        <v/>
      </c>
    </row>
    <row r="11" ht="20" customHeight="1">
      <c r="A11" s="29" t="inlineStr">
        <is>
          <t>vendido_total</t>
        </is>
      </c>
      <c r="B11" s="30" t="inlineStr">
        <is>
          <t>Financeiro</t>
        </is>
      </c>
      <c r="C11" s="30" t="inlineStr">
        <is>
          <t>Total Vendido</t>
        </is>
      </c>
      <c r="D11" s="23">
        <f>'💰 Financeiro'!C18</f>
        <v/>
      </c>
      <c r="E11" s="23">
        <f>'💰 Financeiro'!D18</f>
        <v/>
      </c>
      <c r="F11" s="23">
        <f>'💰 Financeiro'!E18</f>
        <v/>
      </c>
      <c r="G11" s="23">
        <f>'💰 Financeiro'!F18</f>
        <v/>
      </c>
      <c r="H11" s="23">
        <f>'💰 Financeiro'!G18</f>
        <v/>
      </c>
      <c r="I11" s="23">
        <f>'💰 Financeiro'!H18</f>
        <v/>
      </c>
      <c r="J11" s="23">
        <f>'💰 Financeiro'!I18</f>
        <v/>
      </c>
      <c r="K11" s="23">
        <f>'💰 Financeiro'!J18</f>
        <v/>
      </c>
      <c r="L11" s="23">
        <f>'💰 Financeiro'!K18</f>
        <v/>
      </c>
      <c r="M11" s="23">
        <f>'💰 Financeiro'!L18</f>
        <v/>
      </c>
      <c r="N11" s="23">
        <f>'💰 Financeiro'!M18</f>
        <v/>
      </c>
      <c r="O11" s="23">
        <f>'💰 Financeiro'!N18</f>
        <v/>
      </c>
      <c r="P11" s="22">
        <f>SUM(D11:O11)</f>
        <v/>
      </c>
    </row>
    <row r="12" ht="20" customHeight="1">
      <c r="A12" s="29" t="inlineStr">
        <is>
          <t>desp_folha</t>
        </is>
      </c>
      <c r="B12" s="30" t="inlineStr">
        <is>
          <t>Financeiro</t>
        </is>
      </c>
      <c r="C12" s="30" t="inlineStr">
        <is>
          <t>Folha &amp; RH</t>
        </is>
      </c>
      <c r="D12" s="23">
        <f>'💰 Financeiro'!C21</f>
        <v/>
      </c>
      <c r="E12" s="23">
        <f>'💰 Financeiro'!D21</f>
        <v/>
      </c>
      <c r="F12" s="23">
        <f>'💰 Financeiro'!E21</f>
        <v/>
      </c>
      <c r="G12" s="23">
        <f>'💰 Financeiro'!F21</f>
        <v/>
      </c>
      <c r="H12" s="23">
        <f>'💰 Financeiro'!G21</f>
        <v/>
      </c>
      <c r="I12" s="23">
        <f>'💰 Financeiro'!H21</f>
        <v/>
      </c>
      <c r="J12" s="23">
        <f>'💰 Financeiro'!I21</f>
        <v/>
      </c>
      <c r="K12" s="23">
        <f>'💰 Financeiro'!J21</f>
        <v/>
      </c>
      <c r="L12" s="23">
        <f>'💰 Financeiro'!K21</f>
        <v/>
      </c>
      <c r="M12" s="23">
        <f>'💰 Financeiro'!L21</f>
        <v/>
      </c>
      <c r="N12" s="23">
        <f>'💰 Financeiro'!M21</f>
        <v/>
      </c>
      <c r="O12" s="23">
        <f>'💰 Financeiro'!N21</f>
        <v/>
      </c>
      <c r="P12" s="22">
        <f>SUM(D12:O12)</f>
        <v/>
      </c>
    </row>
    <row r="13" ht="20" customHeight="1">
      <c r="A13" s="29" t="inlineStr">
        <is>
          <t>desp_ads</t>
        </is>
      </c>
      <c r="B13" s="30" t="inlineStr">
        <is>
          <t>Financeiro</t>
        </is>
      </c>
      <c r="C13" s="30" t="inlineStr">
        <is>
          <t>Marketing/ADS</t>
        </is>
      </c>
      <c r="D13" s="23">
        <f>'💰 Financeiro'!C22</f>
        <v/>
      </c>
      <c r="E13" s="23">
        <f>'💰 Financeiro'!D22</f>
        <v/>
      </c>
      <c r="F13" s="23">
        <f>'💰 Financeiro'!E22</f>
        <v/>
      </c>
      <c r="G13" s="23">
        <f>'💰 Financeiro'!F22</f>
        <v/>
      </c>
      <c r="H13" s="23">
        <f>'💰 Financeiro'!G22</f>
        <v/>
      </c>
      <c r="I13" s="23">
        <f>'💰 Financeiro'!H22</f>
        <v/>
      </c>
      <c r="J13" s="23">
        <f>'💰 Financeiro'!I22</f>
        <v/>
      </c>
      <c r="K13" s="23">
        <f>'💰 Financeiro'!J22</f>
        <v/>
      </c>
      <c r="L13" s="23">
        <f>'💰 Financeiro'!K22</f>
        <v/>
      </c>
      <c r="M13" s="23">
        <f>'💰 Financeiro'!L22</f>
        <v/>
      </c>
      <c r="N13" s="23">
        <f>'💰 Financeiro'!M22</f>
        <v/>
      </c>
      <c r="O13" s="23">
        <f>'💰 Financeiro'!N22</f>
        <v/>
      </c>
      <c r="P13" s="22">
        <f>SUM(D13:O13)</f>
        <v/>
      </c>
    </row>
    <row r="14" ht="20" customHeight="1">
      <c r="A14" s="29" t="inlineStr">
        <is>
          <t>desp_tech</t>
        </is>
      </c>
      <c r="B14" s="30" t="inlineStr">
        <is>
          <t>Financeiro</t>
        </is>
      </c>
      <c r="C14" s="30" t="inlineStr">
        <is>
          <t>Infra &amp; Tech</t>
        </is>
      </c>
      <c r="D14" s="23">
        <f>'💰 Financeiro'!C23</f>
        <v/>
      </c>
      <c r="E14" s="23">
        <f>'💰 Financeiro'!D23</f>
        <v/>
      </c>
      <c r="F14" s="23">
        <f>'💰 Financeiro'!E23</f>
        <v/>
      </c>
      <c r="G14" s="23">
        <f>'💰 Financeiro'!F23</f>
        <v/>
      </c>
      <c r="H14" s="23">
        <f>'💰 Financeiro'!G23</f>
        <v/>
      </c>
      <c r="I14" s="23">
        <f>'💰 Financeiro'!H23</f>
        <v/>
      </c>
      <c r="J14" s="23">
        <f>'💰 Financeiro'!I23</f>
        <v/>
      </c>
      <c r="K14" s="23">
        <f>'💰 Financeiro'!J23</f>
        <v/>
      </c>
      <c r="L14" s="23">
        <f>'💰 Financeiro'!K23</f>
        <v/>
      </c>
      <c r="M14" s="23">
        <f>'💰 Financeiro'!L23</f>
        <v/>
      </c>
      <c r="N14" s="23">
        <f>'💰 Financeiro'!M23</f>
        <v/>
      </c>
      <c r="O14" s="23">
        <f>'💰 Financeiro'!N23</f>
        <v/>
      </c>
      <c r="P14" s="22">
        <f>SUM(D14:O14)</f>
        <v/>
      </c>
    </row>
    <row r="15" ht="20" customHeight="1">
      <c r="A15" s="29" t="inlineStr">
        <is>
          <t>desp_terceiros</t>
        </is>
      </c>
      <c r="B15" s="30" t="inlineStr">
        <is>
          <t>Financeiro</t>
        </is>
      </c>
      <c r="C15" s="30" t="inlineStr">
        <is>
          <t>Terceiros &amp; Freelancers</t>
        </is>
      </c>
      <c r="D15" s="23">
        <f>'💰 Financeiro'!C24</f>
        <v/>
      </c>
      <c r="E15" s="23">
        <f>'💰 Financeiro'!D24</f>
        <v/>
      </c>
      <c r="F15" s="23">
        <f>'💰 Financeiro'!E24</f>
        <v/>
      </c>
      <c r="G15" s="23">
        <f>'💰 Financeiro'!F24</f>
        <v/>
      </c>
      <c r="H15" s="23">
        <f>'💰 Financeiro'!G24</f>
        <v/>
      </c>
      <c r="I15" s="23">
        <f>'💰 Financeiro'!H24</f>
        <v/>
      </c>
      <c r="J15" s="23">
        <f>'💰 Financeiro'!I24</f>
        <v/>
      </c>
      <c r="K15" s="23">
        <f>'💰 Financeiro'!J24</f>
        <v/>
      </c>
      <c r="L15" s="23">
        <f>'💰 Financeiro'!K24</f>
        <v/>
      </c>
      <c r="M15" s="23">
        <f>'💰 Financeiro'!L24</f>
        <v/>
      </c>
      <c r="N15" s="23">
        <f>'💰 Financeiro'!M24</f>
        <v/>
      </c>
      <c r="O15" s="23">
        <f>'💰 Financeiro'!N24</f>
        <v/>
      </c>
      <c r="P15" s="22">
        <f>SUM(D15:O15)</f>
        <v/>
      </c>
    </row>
    <row r="16" ht="20" customHeight="1">
      <c r="A16" s="29" t="inlineStr">
        <is>
          <t>desp_outras</t>
        </is>
      </c>
      <c r="B16" s="30" t="inlineStr">
        <is>
          <t>Financeiro</t>
        </is>
      </c>
      <c r="C16" s="30" t="inlineStr">
        <is>
          <t>Outras Despesas</t>
        </is>
      </c>
      <c r="D16" s="23">
        <f>'💰 Financeiro'!C25</f>
        <v/>
      </c>
      <c r="E16" s="23">
        <f>'💰 Financeiro'!D25</f>
        <v/>
      </c>
      <c r="F16" s="23">
        <f>'💰 Financeiro'!E25</f>
        <v/>
      </c>
      <c r="G16" s="23">
        <f>'💰 Financeiro'!F25</f>
        <v/>
      </c>
      <c r="H16" s="23">
        <f>'💰 Financeiro'!G25</f>
        <v/>
      </c>
      <c r="I16" s="23">
        <f>'💰 Financeiro'!H25</f>
        <v/>
      </c>
      <c r="J16" s="23">
        <f>'💰 Financeiro'!I25</f>
        <v/>
      </c>
      <c r="K16" s="23">
        <f>'💰 Financeiro'!J25</f>
        <v/>
      </c>
      <c r="L16" s="23">
        <f>'💰 Financeiro'!K25</f>
        <v/>
      </c>
      <c r="M16" s="23">
        <f>'💰 Financeiro'!L25</f>
        <v/>
      </c>
      <c r="N16" s="23">
        <f>'💰 Financeiro'!M25</f>
        <v/>
      </c>
      <c r="O16" s="23">
        <f>'💰 Financeiro'!N25</f>
        <v/>
      </c>
      <c r="P16" s="22">
        <f>SUM(D16:O16)</f>
        <v/>
      </c>
    </row>
    <row r="17" ht="20" customHeight="1">
      <c r="A17" s="29" t="inlineStr">
        <is>
          <t>desp_total</t>
        </is>
      </c>
      <c r="B17" s="30" t="inlineStr">
        <is>
          <t>Financeiro</t>
        </is>
      </c>
      <c r="C17" s="30" t="inlineStr">
        <is>
          <t>Despesas Totais</t>
        </is>
      </c>
      <c r="D17" s="23">
        <f>'💰 Financeiro'!C26</f>
        <v/>
      </c>
      <c r="E17" s="23">
        <f>'💰 Financeiro'!D26</f>
        <v/>
      </c>
      <c r="F17" s="23">
        <f>'💰 Financeiro'!E26</f>
        <v/>
      </c>
      <c r="G17" s="23">
        <f>'💰 Financeiro'!F26</f>
        <v/>
      </c>
      <c r="H17" s="23">
        <f>'💰 Financeiro'!G26</f>
        <v/>
      </c>
      <c r="I17" s="23">
        <f>'💰 Financeiro'!H26</f>
        <v/>
      </c>
      <c r="J17" s="23">
        <f>'💰 Financeiro'!I26</f>
        <v/>
      </c>
      <c r="K17" s="23">
        <f>'💰 Financeiro'!J26</f>
        <v/>
      </c>
      <c r="L17" s="23">
        <f>'💰 Financeiro'!K26</f>
        <v/>
      </c>
      <c r="M17" s="23">
        <f>'💰 Financeiro'!L26</f>
        <v/>
      </c>
      <c r="N17" s="23">
        <f>'💰 Financeiro'!M26</f>
        <v/>
      </c>
      <c r="O17" s="23">
        <f>'💰 Financeiro'!N26</f>
        <v/>
      </c>
      <c r="P17" s="22">
        <f>SUM(D17:O17)</f>
        <v/>
      </c>
    </row>
    <row r="18" ht="20" customHeight="1">
      <c r="A18" s="29" t="inlineStr">
        <is>
          <t>resultado</t>
        </is>
      </c>
      <c r="B18" s="30" t="inlineStr">
        <is>
          <t>Financeiro</t>
        </is>
      </c>
      <c r="C18" s="30" t="inlineStr">
        <is>
          <t>Resultado do Mês</t>
        </is>
      </c>
      <c r="D18" s="23">
        <f>'💰 Financeiro'!C29</f>
        <v/>
      </c>
      <c r="E18" s="23">
        <f>'💰 Financeiro'!D29</f>
        <v/>
      </c>
      <c r="F18" s="23">
        <f>'💰 Financeiro'!E29</f>
        <v/>
      </c>
      <c r="G18" s="23">
        <f>'💰 Financeiro'!F29</f>
        <v/>
      </c>
      <c r="H18" s="23">
        <f>'💰 Financeiro'!G29</f>
        <v/>
      </c>
      <c r="I18" s="23">
        <f>'💰 Financeiro'!H29</f>
        <v/>
      </c>
      <c r="J18" s="23">
        <f>'💰 Financeiro'!I29</f>
        <v/>
      </c>
      <c r="K18" s="23">
        <f>'💰 Financeiro'!J29</f>
        <v/>
      </c>
      <c r="L18" s="23">
        <f>'💰 Financeiro'!K29</f>
        <v/>
      </c>
      <c r="M18" s="23">
        <f>'💰 Financeiro'!L29</f>
        <v/>
      </c>
      <c r="N18" s="23">
        <f>'💰 Financeiro'!M29</f>
        <v/>
      </c>
      <c r="O18" s="23">
        <f>'💰 Financeiro'!N29</f>
        <v/>
      </c>
      <c r="P18" s="22">
        <f>SUM(D18:O18)</f>
        <v/>
      </c>
    </row>
    <row r="19" ht="20" customHeight="1">
      <c r="A19" s="29" t="inlineStr">
        <is>
          <t>burn</t>
        </is>
      </c>
      <c r="B19" s="30" t="inlineStr">
        <is>
          <t>Financeiro</t>
        </is>
      </c>
      <c r="C19" s="30" t="inlineStr">
        <is>
          <t>Burn Rate</t>
        </is>
      </c>
      <c r="D19" s="23">
        <f>'💰 Financeiro'!C30</f>
        <v/>
      </c>
      <c r="E19" s="23">
        <f>'💰 Financeiro'!D30</f>
        <v/>
      </c>
      <c r="F19" s="23">
        <f>'💰 Financeiro'!E30</f>
        <v/>
      </c>
      <c r="G19" s="23">
        <f>'💰 Financeiro'!F30</f>
        <v/>
      </c>
      <c r="H19" s="23">
        <f>'💰 Financeiro'!G30</f>
        <v/>
      </c>
      <c r="I19" s="23">
        <f>'💰 Financeiro'!H30</f>
        <v/>
      </c>
      <c r="J19" s="23">
        <f>'💰 Financeiro'!I30</f>
        <v/>
      </c>
      <c r="K19" s="23">
        <f>'💰 Financeiro'!J30</f>
        <v/>
      </c>
      <c r="L19" s="23">
        <f>'💰 Financeiro'!K30</f>
        <v/>
      </c>
      <c r="M19" s="23">
        <f>'💰 Financeiro'!L30</f>
        <v/>
      </c>
      <c r="N19" s="23">
        <f>'💰 Financeiro'!M30</f>
        <v/>
      </c>
      <c r="O19" s="23">
        <f>'💰 Financeiro'!N30</f>
        <v/>
      </c>
      <c r="P19" s="22">
        <f>SUM(D19:O19)</f>
        <v/>
      </c>
    </row>
    <row r="20" ht="20" customHeight="1">
      <c r="A20" s="29" t="inlineStr">
        <is>
          <t>runway</t>
        </is>
      </c>
      <c r="B20" s="30" t="inlineStr">
        <is>
          <t>Financeiro</t>
        </is>
      </c>
      <c r="C20" s="30" t="inlineStr">
        <is>
          <t>Runway (meses)</t>
        </is>
      </c>
      <c r="D20" s="25">
        <f>'💰 Financeiro'!C31</f>
        <v/>
      </c>
      <c r="E20" s="25">
        <f>'💰 Financeiro'!D31</f>
        <v/>
      </c>
      <c r="F20" s="25">
        <f>'💰 Financeiro'!E31</f>
        <v/>
      </c>
      <c r="G20" s="25">
        <f>'💰 Financeiro'!F31</f>
        <v/>
      </c>
      <c r="H20" s="25">
        <f>'💰 Financeiro'!G31</f>
        <v/>
      </c>
      <c r="I20" s="25">
        <f>'💰 Financeiro'!H31</f>
        <v/>
      </c>
      <c r="J20" s="25">
        <f>'💰 Financeiro'!I31</f>
        <v/>
      </c>
      <c r="K20" s="25">
        <f>'💰 Financeiro'!J31</f>
        <v/>
      </c>
      <c r="L20" s="25">
        <f>'💰 Financeiro'!K31</f>
        <v/>
      </c>
      <c r="M20" s="25">
        <f>'💰 Financeiro'!L31</f>
        <v/>
      </c>
      <c r="N20" s="25">
        <f>'💰 Financeiro'!M31</f>
        <v/>
      </c>
      <c r="O20" s="25">
        <f>'💰 Financeiro'!N31</f>
        <v/>
      </c>
      <c r="P20" s="26">
        <f>IFERROR(AVERAGE(D20:O20),0)</f>
        <v/>
      </c>
    </row>
    <row r="21" ht="20" customHeight="1">
      <c r="A21" s="29" t="inlineStr">
        <is>
          <t>margem</t>
        </is>
      </c>
      <c r="B21" s="30" t="inlineStr">
        <is>
          <t>Financeiro</t>
        </is>
      </c>
      <c r="C21" s="30" t="inlineStr">
        <is>
          <t>Margem (%)</t>
        </is>
      </c>
      <c r="D21" s="24">
        <f>'💰 Financeiro'!C32</f>
        <v/>
      </c>
      <c r="E21" s="24">
        <f>'💰 Financeiro'!D32</f>
        <v/>
      </c>
      <c r="F21" s="24">
        <f>'💰 Financeiro'!E32</f>
        <v/>
      </c>
      <c r="G21" s="24">
        <f>'💰 Financeiro'!F32</f>
        <v/>
      </c>
      <c r="H21" s="24">
        <f>'💰 Financeiro'!G32</f>
        <v/>
      </c>
      <c r="I21" s="24">
        <f>'💰 Financeiro'!H32</f>
        <v/>
      </c>
      <c r="J21" s="24">
        <f>'💰 Financeiro'!I32</f>
        <v/>
      </c>
      <c r="K21" s="24">
        <f>'💰 Financeiro'!J32</f>
        <v/>
      </c>
      <c r="L21" s="24">
        <f>'💰 Financeiro'!K32</f>
        <v/>
      </c>
      <c r="M21" s="24">
        <f>'💰 Financeiro'!L32</f>
        <v/>
      </c>
      <c r="N21" s="24">
        <f>'💰 Financeiro'!M32</f>
        <v/>
      </c>
      <c r="O21" s="24">
        <f>'💰 Financeiro'!N32</f>
        <v/>
      </c>
      <c r="P21" s="20">
        <f>IFERROR(AVERAGE(D21:O21),0)</f>
        <v/>
      </c>
    </row>
    <row r="22" ht="20" customHeight="1">
      <c r="A22" s="29" t="inlineStr">
        <is>
          <t>contas_receber</t>
        </is>
      </c>
      <c r="B22" s="30" t="inlineStr">
        <is>
          <t>Financeiro</t>
        </is>
      </c>
      <c r="C22" s="30" t="inlineStr">
        <is>
          <t>Contas a Receber</t>
        </is>
      </c>
      <c r="D22" s="23">
        <f>'💰 Financeiro'!C33</f>
        <v/>
      </c>
      <c r="E22" s="23">
        <f>'💰 Financeiro'!D33</f>
        <v/>
      </c>
      <c r="F22" s="23">
        <f>'💰 Financeiro'!E33</f>
        <v/>
      </c>
      <c r="G22" s="23">
        <f>'💰 Financeiro'!F33</f>
        <v/>
      </c>
      <c r="H22" s="23">
        <f>'💰 Financeiro'!G33</f>
        <v/>
      </c>
      <c r="I22" s="23">
        <f>'💰 Financeiro'!H33</f>
        <v/>
      </c>
      <c r="J22" s="23">
        <f>'💰 Financeiro'!I33</f>
        <v/>
      </c>
      <c r="K22" s="23">
        <f>'💰 Financeiro'!J33</f>
        <v/>
      </c>
      <c r="L22" s="23">
        <f>'💰 Financeiro'!K33</f>
        <v/>
      </c>
      <c r="M22" s="23">
        <f>'💰 Financeiro'!L33</f>
        <v/>
      </c>
      <c r="N22" s="23">
        <f>'💰 Financeiro'!M33</f>
        <v/>
      </c>
      <c r="O22" s="23">
        <f>'💰 Financeiro'!N33</f>
        <v/>
      </c>
      <c r="P22" s="22">
        <f>SUM(D22:O22)</f>
        <v/>
      </c>
    </row>
    <row r="23" ht="20" customHeight="1">
      <c r="A23" s="29" t="inlineStr">
        <is>
          <t>inadimplencia</t>
        </is>
      </c>
      <c r="B23" s="30" t="inlineStr">
        <is>
          <t>Financeiro</t>
        </is>
      </c>
      <c r="C23" s="30" t="inlineStr">
        <is>
          <t>Inadimplência</t>
        </is>
      </c>
      <c r="D23" s="23">
        <f>'💰 Financeiro'!C34</f>
        <v/>
      </c>
      <c r="E23" s="23">
        <f>'💰 Financeiro'!D34</f>
        <v/>
      </c>
      <c r="F23" s="23">
        <f>'💰 Financeiro'!E34</f>
        <v/>
      </c>
      <c r="G23" s="23">
        <f>'💰 Financeiro'!F34</f>
        <v/>
      </c>
      <c r="H23" s="23">
        <f>'💰 Financeiro'!G34</f>
        <v/>
      </c>
      <c r="I23" s="23">
        <f>'💰 Financeiro'!H34</f>
        <v/>
      </c>
      <c r="J23" s="23">
        <f>'💰 Financeiro'!I34</f>
        <v/>
      </c>
      <c r="K23" s="23">
        <f>'💰 Financeiro'!J34</f>
        <v/>
      </c>
      <c r="L23" s="23">
        <f>'💰 Financeiro'!K34</f>
        <v/>
      </c>
      <c r="M23" s="23">
        <f>'💰 Financeiro'!L34</f>
        <v/>
      </c>
      <c r="N23" s="23">
        <f>'💰 Financeiro'!M34</f>
        <v/>
      </c>
      <c r="O23" s="23">
        <f>'💰 Financeiro'!N34</f>
        <v/>
      </c>
      <c r="P23" s="22">
        <f>SUM(D23:O23)</f>
        <v/>
      </c>
    </row>
    <row r="24" ht="20" customHeight="1">
      <c r="A24" s="29" t="inlineStr">
        <is>
          <t>gap_vendido_receb</t>
        </is>
      </c>
      <c r="B24" s="30" t="inlineStr">
        <is>
          <t>Financeiro</t>
        </is>
      </c>
      <c r="C24" s="30" t="inlineStr">
        <is>
          <t>Gap Vendido−Recebido</t>
        </is>
      </c>
      <c r="D24" s="23">
        <f>'💰 Financeiro'!C37</f>
        <v/>
      </c>
      <c r="E24" s="23">
        <f>'💰 Financeiro'!D37</f>
        <v/>
      </c>
      <c r="F24" s="23">
        <f>'💰 Financeiro'!E37</f>
        <v/>
      </c>
      <c r="G24" s="23">
        <f>'💰 Financeiro'!F37</f>
        <v/>
      </c>
      <c r="H24" s="23">
        <f>'💰 Financeiro'!G37</f>
        <v/>
      </c>
      <c r="I24" s="23">
        <f>'💰 Financeiro'!H37</f>
        <v/>
      </c>
      <c r="J24" s="23">
        <f>'💰 Financeiro'!I37</f>
        <v/>
      </c>
      <c r="K24" s="23">
        <f>'💰 Financeiro'!J37</f>
        <v/>
      </c>
      <c r="L24" s="23">
        <f>'💰 Financeiro'!K37</f>
        <v/>
      </c>
      <c r="M24" s="23">
        <f>'💰 Financeiro'!L37</f>
        <v/>
      </c>
      <c r="N24" s="23">
        <f>'💰 Financeiro'!M37</f>
        <v/>
      </c>
      <c r="O24" s="23">
        <f>'💰 Financeiro'!N37</f>
        <v/>
      </c>
      <c r="P24" s="22">
        <f>SUM(D24:O24)</f>
        <v/>
      </c>
    </row>
    <row r="25" ht="20" customHeight="1">
      <c r="A25" s="29" t="inlineStr">
        <is>
          <t>conv_caixa</t>
        </is>
      </c>
      <c r="B25" s="30" t="inlineStr">
        <is>
          <t>Financeiro</t>
        </is>
      </c>
      <c r="C25" s="30" t="inlineStr">
        <is>
          <t>% Conversão Venda→Caixa</t>
        </is>
      </c>
      <c r="D25" s="24">
        <f>'💰 Financeiro'!C38</f>
        <v/>
      </c>
      <c r="E25" s="24">
        <f>'💰 Financeiro'!D38</f>
        <v/>
      </c>
      <c r="F25" s="24">
        <f>'💰 Financeiro'!E38</f>
        <v/>
      </c>
      <c r="G25" s="24">
        <f>'💰 Financeiro'!F38</f>
        <v/>
      </c>
      <c r="H25" s="24">
        <f>'💰 Financeiro'!G38</f>
        <v/>
      </c>
      <c r="I25" s="24">
        <f>'💰 Financeiro'!H38</f>
        <v/>
      </c>
      <c r="J25" s="24">
        <f>'💰 Financeiro'!I38</f>
        <v/>
      </c>
      <c r="K25" s="24">
        <f>'💰 Financeiro'!J38</f>
        <v/>
      </c>
      <c r="L25" s="24">
        <f>'💰 Financeiro'!K38</f>
        <v/>
      </c>
      <c r="M25" s="24">
        <f>'💰 Financeiro'!L38</f>
        <v/>
      </c>
      <c r="N25" s="24">
        <f>'💰 Financeiro'!M38</f>
        <v/>
      </c>
      <c r="O25" s="24">
        <f>'💰 Financeiro'!N38</f>
        <v/>
      </c>
      <c r="P25" s="20">
        <f>IFERROR(AVERAGE(D25:O25),0)</f>
        <v/>
      </c>
    </row>
    <row r="26" ht="20" customHeight="1">
      <c r="A26" s="29" t="inlineStr">
        <is>
          <t>prod_aulas</t>
        </is>
      </c>
      <c r="B26" s="30" t="inlineStr">
        <is>
          <t>Produto</t>
        </is>
      </c>
      <c r="C26" s="30" t="inlineStr">
        <is>
          <t>Aulas/Hot Seats</t>
        </is>
      </c>
      <c r="D26" s="11">
        <f>'🛠 Produto'!C7</f>
        <v/>
      </c>
      <c r="E26" s="11">
        <f>'🛠 Produto'!D7</f>
        <v/>
      </c>
      <c r="F26" s="11">
        <f>'🛠 Produto'!E7</f>
        <v/>
      </c>
      <c r="G26" s="11">
        <f>'🛠 Produto'!F7</f>
        <v/>
      </c>
      <c r="H26" s="11">
        <f>'🛠 Produto'!G7</f>
        <v/>
      </c>
      <c r="I26" s="11">
        <f>'🛠 Produto'!H7</f>
        <v/>
      </c>
      <c r="J26" s="11">
        <f>'🛠 Produto'!I7</f>
        <v/>
      </c>
      <c r="K26" s="11">
        <f>'🛠 Produto'!J7</f>
        <v/>
      </c>
      <c r="L26" s="11">
        <f>'🛠 Produto'!K7</f>
        <v/>
      </c>
      <c r="M26" s="11">
        <f>'🛠 Produto'!L7</f>
        <v/>
      </c>
      <c r="N26" s="11">
        <f>'🛠 Produto'!M7</f>
        <v/>
      </c>
      <c r="O26" s="11">
        <f>'🛠 Produto'!N7</f>
        <v/>
      </c>
      <c r="P26" s="12">
        <f>SUM(D26:O26)</f>
        <v/>
      </c>
    </row>
    <row r="27" ht="20" customHeight="1">
      <c r="A27" s="29" t="inlineStr">
        <is>
          <t>prod_marcos</t>
        </is>
      </c>
      <c r="B27" s="30" t="inlineStr">
        <is>
          <t>Produto</t>
        </is>
      </c>
      <c r="C27" s="30" t="inlineStr">
        <is>
          <t>Marcos Entregues</t>
        </is>
      </c>
      <c r="D27" s="11">
        <f>'🛠 Produto'!C8</f>
        <v/>
      </c>
      <c r="E27" s="11">
        <f>'🛠 Produto'!D8</f>
        <v/>
      </c>
      <c r="F27" s="11">
        <f>'🛠 Produto'!E8</f>
        <v/>
      </c>
      <c r="G27" s="11">
        <f>'🛠 Produto'!F8</f>
        <v/>
      </c>
      <c r="H27" s="11">
        <f>'🛠 Produto'!G8</f>
        <v/>
      </c>
      <c r="I27" s="11">
        <f>'🛠 Produto'!H8</f>
        <v/>
      </c>
      <c r="J27" s="11">
        <f>'🛠 Produto'!I8</f>
        <v/>
      </c>
      <c r="K27" s="11">
        <f>'🛠 Produto'!J8</f>
        <v/>
      </c>
      <c r="L27" s="11">
        <f>'🛠 Produto'!K8</f>
        <v/>
      </c>
      <c r="M27" s="11">
        <f>'🛠 Produto'!L8</f>
        <v/>
      </c>
      <c r="N27" s="11">
        <f>'🛠 Produto'!M8</f>
        <v/>
      </c>
      <c r="O27" s="11">
        <f>'🛠 Produto'!N8</f>
        <v/>
      </c>
      <c r="P27" s="12">
        <f>SUM(D27:O27)</f>
        <v/>
      </c>
    </row>
    <row r="28" ht="20" customHeight="1">
      <c r="A28" s="29" t="inlineStr">
        <is>
          <t>prod_sla</t>
        </is>
      </c>
      <c r="B28" s="30" t="inlineStr">
        <is>
          <t>Produto</t>
        </is>
      </c>
      <c r="C28" s="30" t="inlineStr">
        <is>
          <t>SLA de Entrega</t>
        </is>
      </c>
      <c r="D28" s="24">
        <f>'🛠 Produto'!C9</f>
        <v/>
      </c>
      <c r="E28" s="24">
        <f>'🛠 Produto'!D9</f>
        <v/>
      </c>
      <c r="F28" s="24">
        <f>'🛠 Produto'!E9</f>
        <v/>
      </c>
      <c r="G28" s="24">
        <f>'🛠 Produto'!F9</f>
        <v/>
      </c>
      <c r="H28" s="24">
        <f>'🛠 Produto'!G9</f>
        <v/>
      </c>
      <c r="I28" s="24">
        <f>'🛠 Produto'!H9</f>
        <v/>
      </c>
      <c r="J28" s="24">
        <f>'🛠 Produto'!I9</f>
        <v/>
      </c>
      <c r="K28" s="24">
        <f>'🛠 Produto'!J9</f>
        <v/>
      </c>
      <c r="L28" s="24">
        <f>'🛠 Produto'!K9</f>
        <v/>
      </c>
      <c r="M28" s="24">
        <f>'🛠 Produto'!L9</f>
        <v/>
      </c>
      <c r="N28" s="24">
        <f>'🛠 Produto'!M9</f>
        <v/>
      </c>
      <c r="O28" s="24">
        <f>'🛠 Produto'!N9</f>
        <v/>
      </c>
      <c r="P28" s="20">
        <f>IFERROR(AVERAGE(D28:O28),0)</f>
        <v/>
      </c>
    </row>
    <row r="29" ht="20" customHeight="1">
      <c r="A29" s="29" t="inlineStr">
        <is>
          <t>prod_contratos</t>
        </is>
      </c>
      <c r="B29" s="30" t="inlineStr">
        <is>
          <t>Produto</t>
        </is>
      </c>
      <c r="C29" s="30" t="inlineStr">
        <is>
          <t>Contratos Ativos</t>
        </is>
      </c>
      <c r="D29" s="11">
        <f>'🛠 Produto'!C12</f>
        <v/>
      </c>
      <c r="E29" s="11">
        <f>'🛠 Produto'!D12</f>
        <v/>
      </c>
      <c r="F29" s="11">
        <f>'🛠 Produto'!E12</f>
        <v/>
      </c>
      <c r="G29" s="11">
        <f>'🛠 Produto'!F12</f>
        <v/>
      </c>
      <c r="H29" s="11">
        <f>'🛠 Produto'!G12</f>
        <v/>
      </c>
      <c r="I29" s="11">
        <f>'🛠 Produto'!H12</f>
        <v/>
      </c>
      <c r="J29" s="11">
        <f>'🛠 Produto'!I12</f>
        <v/>
      </c>
      <c r="K29" s="11">
        <f>'🛠 Produto'!J12</f>
        <v/>
      </c>
      <c r="L29" s="11">
        <f>'🛠 Produto'!K12</f>
        <v/>
      </c>
      <c r="M29" s="11">
        <f>'🛠 Produto'!L12</f>
        <v/>
      </c>
      <c r="N29" s="11">
        <f>'🛠 Produto'!M12</f>
        <v/>
      </c>
      <c r="O29" s="11">
        <f>'🛠 Produto'!N12</f>
        <v/>
      </c>
      <c r="P29" s="12">
        <f>SUM(D29:O29)</f>
        <v/>
      </c>
    </row>
    <row r="30" ht="20" customHeight="1">
      <c r="A30" s="29" t="inlineStr">
        <is>
          <t>prod_nps</t>
        </is>
      </c>
      <c r="B30" s="30" t="inlineStr">
        <is>
          <t>Produto</t>
        </is>
      </c>
      <c r="C30" s="30" t="inlineStr">
        <is>
          <t>NPS</t>
        </is>
      </c>
      <c r="D30" s="11">
        <f>'🛠 Produto'!C13</f>
        <v/>
      </c>
      <c r="E30" s="11">
        <f>'🛠 Produto'!D13</f>
        <v/>
      </c>
      <c r="F30" s="11">
        <f>'🛠 Produto'!E13</f>
        <v/>
      </c>
      <c r="G30" s="11">
        <f>'🛠 Produto'!F13</f>
        <v/>
      </c>
      <c r="H30" s="11">
        <f>'🛠 Produto'!G13</f>
        <v/>
      </c>
      <c r="I30" s="11">
        <f>'🛠 Produto'!H13</f>
        <v/>
      </c>
      <c r="J30" s="11">
        <f>'🛠 Produto'!I13</f>
        <v/>
      </c>
      <c r="K30" s="11">
        <f>'🛠 Produto'!J13</f>
        <v/>
      </c>
      <c r="L30" s="11">
        <f>'🛠 Produto'!K13</f>
        <v/>
      </c>
      <c r="M30" s="11">
        <f>'🛠 Produto'!L13</f>
        <v/>
      </c>
      <c r="N30" s="11">
        <f>'🛠 Produto'!M13</f>
        <v/>
      </c>
      <c r="O30" s="11">
        <f>'🛠 Produto'!N13</f>
        <v/>
      </c>
      <c r="P30" s="12">
        <f>SUM(D30:O30)</f>
        <v/>
      </c>
    </row>
    <row r="31" ht="20" customHeight="1">
      <c r="A31" s="29" t="inlineStr">
        <is>
          <t>prod_49code_qtd</t>
        </is>
      </c>
      <c r="B31" s="30" t="inlineStr">
        <is>
          <t>Produto</t>
        </is>
      </c>
      <c r="C31" s="30" t="inlineStr">
        <is>
          <t>Vendas 49 Code (qtd)</t>
        </is>
      </c>
      <c r="D31" s="11">
        <f>'🛠 Produto'!C16</f>
        <v/>
      </c>
      <c r="E31" s="11">
        <f>'🛠 Produto'!D16</f>
        <v/>
      </c>
      <c r="F31" s="11">
        <f>'🛠 Produto'!E16</f>
        <v/>
      </c>
      <c r="G31" s="11">
        <f>'🛠 Produto'!F16</f>
        <v/>
      </c>
      <c r="H31" s="11">
        <f>'🛠 Produto'!G16</f>
        <v/>
      </c>
      <c r="I31" s="11">
        <f>'🛠 Produto'!H16</f>
        <v/>
      </c>
      <c r="J31" s="11">
        <f>'🛠 Produto'!I16</f>
        <v/>
      </c>
      <c r="K31" s="11">
        <f>'🛠 Produto'!J16</f>
        <v/>
      </c>
      <c r="L31" s="11">
        <f>'🛠 Produto'!K16</f>
        <v/>
      </c>
      <c r="M31" s="11">
        <f>'🛠 Produto'!L16</f>
        <v/>
      </c>
      <c r="N31" s="11">
        <f>'🛠 Produto'!M16</f>
        <v/>
      </c>
      <c r="O31" s="11">
        <f>'🛠 Produto'!N16</f>
        <v/>
      </c>
      <c r="P31" s="12">
        <f>SUM(D31:O31)</f>
        <v/>
      </c>
    </row>
    <row r="32" ht="20" customHeight="1">
      <c r="A32" s="29" t="inlineStr">
        <is>
          <t>prod_49code_rec</t>
        </is>
      </c>
      <c r="B32" s="30" t="inlineStr">
        <is>
          <t>Produto</t>
        </is>
      </c>
      <c r="C32" s="30" t="inlineStr">
        <is>
          <t>Receita 49 Code</t>
        </is>
      </c>
      <c r="D32" s="23">
        <f>'🛠 Produto'!C17</f>
        <v/>
      </c>
      <c r="E32" s="23">
        <f>'🛠 Produto'!D17</f>
        <v/>
      </c>
      <c r="F32" s="23">
        <f>'🛠 Produto'!E17</f>
        <v/>
      </c>
      <c r="G32" s="23">
        <f>'🛠 Produto'!F17</f>
        <v/>
      </c>
      <c r="H32" s="23">
        <f>'🛠 Produto'!G17</f>
        <v/>
      </c>
      <c r="I32" s="23">
        <f>'🛠 Produto'!H17</f>
        <v/>
      </c>
      <c r="J32" s="23">
        <f>'🛠 Produto'!I17</f>
        <v/>
      </c>
      <c r="K32" s="23">
        <f>'🛠 Produto'!J17</f>
        <v/>
      </c>
      <c r="L32" s="23">
        <f>'🛠 Produto'!K17</f>
        <v/>
      </c>
      <c r="M32" s="23">
        <f>'🛠 Produto'!L17</f>
        <v/>
      </c>
      <c r="N32" s="23">
        <f>'🛠 Produto'!M17</f>
        <v/>
      </c>
      <c r="O32" s="23">
        <f>'🛠 Produto'!N17</f>
        <v/>
      </c>
      <c r="P32" s="22">
        <f>SUM(D32:O32)</f>
        <v/>
      </c>
    </row>
    <row r="33" ht="20" customHeight="1">
      <c r="A33" s="29" t="inlineStr">
        <is>
          <t>prod_receita</t>
        </is>
      </c>
      <c r="B33" s="30" t="inlineStr">
        <is>
          <t>Produto</t>
        </is>
      </c>
      <c r="C33" s="30" t="inlineStr">
        <is>
          <t>Receita Total Produto</t>
        </is>
      </c>
      <c r="D33" s="23">
        <f>'🛠 Produto'!C18</f>
        <v/>
      </c>
      <c r="E33" s="23">
        <f>'🛠 Produto'!D18</f>
        <v/>
      </c>
      <c r="F33" s="23">
        <f>'🛠 Produto'!E18</f>
        <v/>
      </c>
      <c r="G33" s="23">
        <f>'🛠 Produto'!F18</f>
        <v/>
      </c>
      <c r="H33" s="23">
        <f>'🛠 Produto'!G18</f>
        <v/>
      </c>
      <c r="I33" s="23">
        <f>'🛠 Produto'!H18</f>
        <v/>
      </c>
      <c r="J33" s="23">
        <f>'🛠 Produto'!I18</f>
        <v/>
      </c>
      <c r="K33" s="23">
        <f>'🛠 Produto'!J18</f>
        <v/>
      </c>
      <c r="L33" s="23">
        <f>'🛠 Produto'!K18</f>
        <v/>
      </c>
      <c r="M33" s="23">
        <f>'🛠 Produto'!L18</f>
        <v/>
      </c>
      <c r="N33" s="23">
        <f>'🛠 Produto'!M18</f>
        <v/>
      </c>
      <c r="O33" s="23">
        <f>'🛠 Produto'!N18</f>
        <v/>
      </c>
      <c r="P33" s="22">
        <f>SUM(D33:O33)</f>
        <v/>
      </c>
    </row>
    <row r="34" ht="20" customHeight="1">
      <c r="A34" s="29" t="inlineStr">
        <is>
          <t>prod_uptime</t>
        </is>
      </c>
      <c r="B34" s="30" t="inlineStr">
        <is>
          <t>Produto</t>
        </is>
      </c>
      <c r="C34" s="30" t="inlineStr">
        <is>
          <t>Uptime</t>
        </is>
      </c>
      <c r="D34" s="24">
        <f>'🛠 Produto'!C21</f>
        <v/>
      </c>
      <c r="E34" s="24">
        <f>'🛠 Produto'!D21</f>
        <v/>
      </c>
      <c r="F34" s="24">
        <f>'🛠 Produto'!E21</f>
        <v/>
      </c>
      <c r="G34" s="24">
        <f>'🛠 Produto'!F21</f>
        <v/>
      </c>
      <c r="H34" s="24">
        <f>'🛠 Produto'!G21</f>
        <v/>
      </c>
      <c r="I34" s="24">
        <f>'🛠 Produto'!H21</f>
        <v/>
      </c>
      <c r="J34" s="24">
        <f>'🛠 Produto'!I21</f>
        <v/>
      </c>
      <c r="K34" s="24">
        <f>'🛠 Produto'!J21</f>
        <v/>
      </c>
      <c r="L34" s="24">
        <f>'🛠 Produto'!K21</f>
        <v/>
      </c>
      <c r="M34" s="24">
        <f>'🛠 Produto'!L21</f>
        <v/>
      </c>
      <c r="N34" s="24">
        <f>'🛠 Produto'!M21</f>
        <v/>
      </c>
      <c r="O34" s="24">
        <f>'🛠 Produto'!N21</f>
        <v/>
      </c>
      <c r="P34" s="20">
        <f>IFERROR(AVERAGE(D34:O34),0)</f>
        <v/>
      </c>
    </row>
    <row r="35" ht="20" customHeight="1">
      <c r="A35" s="29" t="inlineStr">
        <is>
          <t>prod_bugs_rep</t>
        </is>
      </c>
      <c r="B35" s="30" t="inlineStr">
        <is>
          <t>Produto</t>
        </is>
      </c>
      <c r="C35" s="30" t="inlineStr">
        <is>
          <t>Bugs Reportados</t>
        </is>
      </c>
      <c r="D35" s="11">
        <f>'🛠 Produto'!C22</f>
        <v/>
      </c>
      <c r="E35" s="11">
        <f>'🛠 Produto'!D22</f>
        <v/>
      </c>
      <c r="F35" s="11">
        <f>'🛠 Produto'!E22</f>
        <v/>
      </c>
      <c r="G35" s="11">
        <f>'🛠 Produto'!F22</f>
        <v/>
      </c>
      <c r="H35" s="11">
        <f>'🛠 Produto'!G22</f>
        <v/>
      </c>
      <c r="I35" s="11">
        <f>'🛠 Produto'!H22</f>
        <v/>
      </c>
      <c r="J35" s="11">
        <f>'🛠 Produto'!I22</f>
        <v/>
      </c>
      <c r="K35" s="11">
        <f>'🛠 Produto'!J22</f>
        <v/>
      </c>
      <c r="L35" s="11">
        <f>'🛠 Produto'!K22</f>
        <v/>
      </c>
      <c r="M35" s="11">
        <f>'🛠 Produto'!L22</f>
        <v/>
      </c>
      <c r="N35" s="11">
        <f>'🛠 Produto'!M22</f>
        <v/>
      </c>
      <c r="O35" s="11">
        <f>'🛠 Produto'!N22</f>
        <v/>
      </c>
      <c r="P35" s="12">
        <f>SUM(D35:O35)</f>
        <v/>
      </c>
    </row>
    <row r="36" ht="20" customHeight="1">
      <c r="A36" s="29" t="inlineStr">
        <is>
          <t>prod_bugs_res</t>
        </is>
      </c>
      <c r="B36" s="30" t="inlineStr">
        <is>
          <t>Produto</t>
        </is>
      </c>
      <c r="C36" s="30" t="inlineStr">
        <is>
          <t>Bugs Resolvidos</t>
        </is>
      </c>
      <c r="D36" s="11">
        <f>'🛠 Produto'!C23</f>
        <v/>
      </c>
      <c r="E36" s="11">
        <f>'🛠 Produto'!D23</f>
        <v/>
      </c>
      <c r="F36" s="11">
        <f>'🛠 Produto'!E23</f>
        <v/>
      </c>
      <c r="G36" s="11">
        <f>'🛠 Produto'!F23</f>
        <v/>
      </c>
      <c r="H36" s="11">
        <f>'🛠 Produto'!G23</f>
        <v/>
      </c>
      <c r="I36" s="11">
        <f>'🛠 Produto'!H23</f>
        <v/>
      </c>
      <c r="J36" s="11">
        <f>'🛠 Produto'!I23</f>
        <v/>
      </c>
      <c r="K36" s="11">
        <f>'🛠 Produto'!J23</f>
        <v/>
      </c>
      <c r="L36" s="11">
        <f>'🛠 Produto'!K23</f>
        <v/>
      </c>
      <c r="M36" s="11">
        <f>'🛠 Produto'!L23</f>
        <v/>
      </c>
      <c r="N36" s="11">
        <f>'🛠 Produto'!M23</f>
        <v/>
      </c>
      <c r="O36" s="11">
        <f>'🛠 Produto'!N23</f>
        <v/>
      </c>
      <c r="P36" s="12">
        <f>SUM(D36:O36)</f>
        <v/>
      </c>
    </row>
    <row r="37" ht="20" customHeight="1">
      <c r="A37" s="29" t="inlineStr">
        <is>
          <t>prod_features</t>
        </is>
      </c>
      <c r="B37" s="30" t="inlineStr">
        <is>
          <t>Produto</t>
        </is>
      </c>
      <c r="C37" s="30" t="inlineStr">
        <is>
          <t>Features Lançadas</t>
        </is>
      </c>
      <c r="D37" s="11">
        <f>'🛠 Produto'!C24</f>
        <v/>
      </c>
      <c r="E37" s="11">
        <f>'🛠 Produto'!D24</f>
        <v/>
      </c>
      <c r="F37" s="11">
        <f>'🛠 Produto'!E24</f>
        <v/>
      </c>
      <c r="G37" s="11">
        <f>'🛠 Produto'!F24</f>
        <v/>
      </c>
      <c r="H37" s="11">
        <f>'🛠 Produto'!G24</f>
        <v/>
      </c>
      <c r="I37" s="11">
        <f>'🛠 Produto'!H24</f>
        <v/>
      </c>
      <c r="J37" s="11">
        <f>'🛠 Produto'!I24</f>
        <v/>
      </c>
      <c r="K37" s="11">
        <f>'🛠 Produto'!J24</f>
        <v/>
      </c>
      <c r="L37" s="11">
        <f>'🛠 Produto'!K24</f>
        <v/>
      </c>
      <c r="M37" s="11">
        <f>'🛠 Produto'!L24</f>
        <v/>
      </c>
      <c r="N37" s="11">
        <f>'🛠 Produto'!M24</f>
        <v/>
      </c>
      <c r="O37" s="11">
        <f>'🛠 Produto'!N24</f>
        <v/>
      </c>
      <c r="P37" s="12">
        <f>SUM(D37:O37)</f>
        <v/>
      </c>
    </row>
    <row r="38" ht="20" customHeight="1">
      <c r="A38" s="29" t="inlineStr">
        <is>
          <t>b2b_ads</t>
        </is>
      </c>
      <c r="B38" s="30" t="inlineStr">
        <is>
          <t>B2B</t>
        </is>
      </c>
      <c r="C38" s="30" t="inlineStr">
        <is>
          <t>Investimento ADS</t>
        </is>
      </c>
      <c r="D38" s="23">
        <f>'🤝 B2B'!C7</f>
        <v/>
      </c>
      <c r="E38" s="23">
        <f>'🤝 B2B'!D7</f>
        <v/>
      </c>
      <c r="F38" s="23">
        <f>'🤝 B2B'!E7</f>
        <v/>
      </c>
      <c r="G38" s="23">
        <f>'🤝 B2B'!F7</f>
        <v/>
      </c>
      <c r="H38" s="23">
        <f>'🤝 B2B'!G7</f>
        <v/>
      </c>
      <c r="I38" s="23">
        <f>'🤝 B2B'!H7</f>
        <v/>
      </c>
      <c r="J38" s="23">
        <f>'🤝 B2B'!I7</f>
        <v/>
      </c>
      <c r="K38" s="23">
        <f>'🤝 B2B'!J7</f>
        <v/>
      </c>
      <c r="L38" s="23">
        <f>'🤝 B2B'!K7</f>
        <v/>
      </c>
      <c r="M38" s="23">
        <f>'🤝 B2B'!L7</f>
        <v/>
      </c>
      <c r="N38" s="23">
        <f>'🤝 B2B'!M7</f>
        <v/>
      </c>
      <c r="O38" s="23">
        <f>'🤝 B2B'!N7</f>
        <v/>
      </c>
      <c r="P38" s="22">
        <f>SUM(D38:O38)</f>
        <v/>
      </c>
    </row>
    <row r="39" ht="20" customHeight="1">
      <c r="A39" s="29" t="inlineStr">
        <is>
          <t>b2b_leads</t>
        </is>
      </c>
      <c r="B39" s="30" t="inlineStr">
        <is>
          <t>B2B</t>
        </is>
      </c>
      <c r="C39" s="30" t="inlineStr">
        <is>
          <t>Leads Gerados</t>
        </is>
      </c>
      <c r="D39" s="11">
        <f>'🤝 B2B'!C8</f>
        <v/>
      </c>
      <c r="E39" s="11">
        <f>'🤝 B2B'!D8</f>
        <v/>
      </c>
      <c r="F39" s="11">
        <f>'🤝 B2B'!E8</f>
        <v/>
      </c>
      <c r="G39" s="11">
        <f>'🤝 B2B'!F8</f>
        <v/>
      </c>
      <c r="H39" s="11">
        <f>'🤝 B2B'!G8</f>
        <v/>
      </c>
      <c r="I39" s="11">
        <f>'🤝 B2B'!H8</f>
        <v/>
      </c>
      <c r="J39" s="11">
        <f>'🤝 B2B'!I8</f>
        <v/>
      </c>
      <c r="K39" s="11">
        <f>'🤝 B2B'!J8</f>
        <v/>
      </c>
      <c r="L39" s="11">
        <f>'🤝 B2B'!K8</f>
        <v/>
      </c>
      <c r="M39" s="11">
        <f>'🤝 B2B'!L8</f>
        <v/>
      </c>
      <c r="N39" s="11">
        <f>'🤝 B2B'!M8</f>
        <v/>
      </c>
      <c r="O39" s="11">
        <f>'🤝 B2B'!N8</f>
        <v/>
      </c>
      <c r="P39" s="12">
        <f>SUM(D39:O39)</f>
        <v/>
      </c>
    </row>
    <row r="40" ht="20" customHeight="1">
      <c r="A40" s="29" t="inlineStr">
        <is>
          <t>b2b_mqls</t>
        </is>
      </c>
      <c r="B40" s="30" t="inlineStr">
        <is>
          <t>B2B</t>
        </is>
      </c>
      <c r="C40" s="30" t="inlineStr">
        <is>
          <t>MQLs</t>
        </is>
      </c>
      <c r="D40" s="11">
        <f>'🤝 B2B'!C9</f>
        <v/>
      </c>
      <c r="E40" s="11">
        <f>'🤝 B2B'!D9</f>
        <v/>
      </c>
      <c r="F40" s="11">
        <f>'🤝 B2B'!E9</f>
        <v/>
      </c>
      <c r="G40" s="11">
        <f>'🤝 B2B'!F9</f>
        <v/>
      </c>
      <c r="H40" s="11">
        <f>'🤝 B2B'!G9</f>
        <v/>
      </c>
      <c r="I40" s="11">
        <f>'🤝 B2B'!H9</f>
        <v/>
      </c>
      <c r="J40" s="11">
        <f>'🤝 B2B'!I9</f>
        <v/>
      </c>
      <c r="K40" s="11">
        <f>'🤝 B2B'!J9</f>
        <v/>
      </c>
      <c r="L40" s="11">
        <f>'🤝 B2B'!K9</f>
        <v/>
      </c>
      <c r="M40" s="11">
        <f>'🤝 B2B'!L9</f>
        <v/>
      </c>
      <c r="N40" s="11">
        <f>'🤝 B2B'!M9</f>
        <v/>
      </c>
      <c r="O40" s="11">
        <f>'🤝 B2B'!N9</f>
        <v/>
      </c>
      <c r="P40" s="12">
        <f>SUM(D40:O40)</f>
        <v/>
      </c>
    </row>
    <row r="41" ht="20" customHeight="1">
      <c r="A41" s="29" t="inlineStr">
        <is>
          <t>b2b_sqls</t>
        </is>
      </c>
      <c r="B41" s="30" t="inlineStr">
        <is>
          <t>B2B</t>
        </is>
      </c>
      <c r="C41" s="30" t="inlineStr">
        <is>
          <t>SQLs</t>
        </is>
      </c>
      <c r="D41" s="11">
        <f>'🤝 B2B'!C10</f>
        <v/>
      </c>
      <c r="E41" s="11">
        <f>'🤝 B2B'!D10</f>
        <v/>
      </c>
      <c r="F41" s="11">
        <f>'🤝 B2B'!E10</f>
        <v/>
      </c>
      <c r="G41" s="11">
        <f>'🤝 B2B'!F10</f>
        <v/>
      </c>
      <c r="H41" s="11">
        <f>'🤝 B2B'!G10</f>
        <v/>
      </c>
      <c r="I41" s="11">
        <f>'🤝 B2B'!H10</f>
        <v/>
      </c>
      <c r="J41" s="11">
        <f>'🤝 B2B'!I10</f>
        <v/>
      </c>
      <c r="K41" s="11">
        <f>'🤝 B2B'!J10</f>
        <v/>
      </c>
      <c r="L41" s="11">
        <f>'🤝 B2B'!K10</f>
        <v/>
      </c>
      <c r="M41" s="11">
        <f>'🤝 B2B'!L10</f>
        <v/>
      </c>
      <c r="N41" s="11">
        <f>'🤝 B2B'!M10</f>
        <v/>
      </c>
      <c r="O41" s="11">
        <f>'🤝 B2B'!N10</f>
        <v/>
      </c>
      <c r="P41" s="12">
        <f>SUM(D41:O41)</f>
        <v/>
      </c>
    </row>
    <row r="42" ht="20" customHeight="1">
      <c r="A42" s="29" t="inlineStr">
        <is>
          <t>b2b_cac</t>
        </is>
      </c>
      <c r="B42" s="30" t="inlineStr">
        <is>
          <t>B2B</t>
        </is>
      </c>
      <c r="C42" s="30" t="inlineStr">
        <is>
          <t>CAC</t>
        </is>
      </c>
      <c r="D42" s="23">
        <f>'🤝 B2B'!C11</f>
        <v/>
      </c>
      <c r="E42" s="23">
        <f>'🤝 B2B'!D11</f>
        <v/>
      </c>
      <c r="F42" s="23">
        <f>'🤝 B2B'!E11</f>
        <v/>
      </c>
      <c r="G42" s="23">
        <f>'🤝 B2B'!F11</f>
        <v/>
      </c>
      <c r="H42" s="23">
        <f>'🤝 B2B'!G11</f>
        <v/>
      </c>
      <c r="I42" s="23">
        <f>'🤝 B2B'!H11</f>
        <v/>
      </c>
      <c r="J42" s="23">
        <f>'🤝 B2B'!I11</f>
        <v/>
      </c>
      <c r="K42" s="23">
        <f>'🤝 B2B'!J11</f>
        <v/>
      </c>
      <c r="L42" s="23">
        <f>'🤝 B2B'!K11</f>
        <v/>
      </c>
      <c r="M42" s="23">
        <f>'🤝 B2B'!L11</f>
        <v/>
      </c>
      <c r="N42" s="23">
        <f>'🤝 B2B'!M11</f>
        <v/>
      </c>
      <c r="O42" s="23">
        <f>'🤝 B2B'!N11</f>
        <v/>
      </c>
      <c r="P42" s="22">
        <f>SUM(D42:O42)</f>
        <v/>
      </c>
    </row>
    <row r="43" ht="20" customHeight="1">
      <c r="A43" s="29" t="inlineStr">
        <is>
          <t>b2b_pipeline</t>
        </is>
      </c>
      <c r="B43" s="30" t="inlineStr">
        <is>
          <t>B2B</t>
        </is>
      </c>
      <c r="C43" s="30" t="inlineStr">
        <is>
          <t>Pipeline Ativo</t>
        </is>
      </c>
      <c r="D43" s="23">
        <f>'🤝 B2B'!C14</f>
        <v/>
      </c>
      <c r="E43" s="23">
        <f>'🤝 B2B'!D14</f>
        <v/>
      </c>
      <c r="F43" s="23">
        <f>'🤝 B2B'!E14</f>
        <v/>
      </c>
      <c r="G43" s="23">
        <f>'🤝 B2B'!F14</f>
        <v/>
      </c>
      <c r="H43" s="23">
        <f>'🤝 B2B'!G14</f>
        <v/>
      </c>
      <c r="I43" s="23">
        <f>'🤝 B2B'!H14</f>
        <v/>
      </c>
      <c r="J43" s="23">
        <f>'🤝 B2B'!I14</f>
        <v/>
      </c>
      <c r="K43" s="23">
        <f>'🤝 B2B'!J14</f>
        <v/>
      </c>
      <c r="L43" s="23">
        <f>'🤝 B2B'!K14</f>
        <v/>
      </c>
      <c r="M43" s="23">
        <f>'🤝 B2B'!L14</f>
        <v/>
      </c>
      <c r="N43" s="23">
        <f>'🤝 B2B'!M14</f>
        <v/>
      </c>
      <c r="O43" s="23">
        <f>'🤝 B2B'!N14</f>
        <v/>
      </c>
      <c r="P43" s="22">
        <f>SUM(D43:O43)</f>
        <v/>
      </c>
    </row>
    <row r="44" ht="20" customHeight="1">
      <c r="A44" s="29" t="inlineStr">
        <is>
          <t>b2b_novos_leads</t>
        </is>
      </c>
      <c r="B44" s="30" t="inlineStr">
        <is>
          <t>B2B</t>
        </is>
      </c>
      <c r="C44" s="30" t="inlineStr">
        <is>
          <t>Novos Leads B2B</t>
        </is>
      </c>
      <c r="D44" s="11">
        <f>'🤝 B2B'!C15</f>
        <v/>
      </c>
      <c r="E44" s="11">
        <f>'🤝 B2B'!D15</f>
        <v/>
      </c>
      <c r="F44" s="11">
        <f>'🤝 B2B'!E15</f>
        <v/>
      </c>
      <c r="G44" s="11">
        <f>'🤝 B2B'!F15</f>
        <v/>
      </c>
      <c r="H44" s="11">
        <f>'🤝 B2B'!G15</f>
        <v/>
      </c>
      <c r="I44" s="11">
        <f>'🤝 B2B'!H15</f>
        <v/>
      </c>
      <c r="J44" s="11">
        <f>'🤝 B2B'!I15</f>
        <v/>
      </c>
      <c r="K44" s="11">
        <f>'🤝 B2B'!J15</f>
        <v/>
      </c>
      <c r="L44" s="11">
        <f>'🤝 B2B'!K15</f>
        <v/>
      </c>
      <c r="M44" s="11">
        <f>'🤝 B2B'!L15</f>
        <v/>
      </c>
      <c r="N44" s="11">
        <f>'🤝 B2B'!M15</f>
        <v/>
      </c>
      <c r="O44" s="11">
        <f>'🤝 B2B'!N15</f>
        <v/>
      </c>
      <c r="P44" s="12">
        <f>SUM(D44:O44)</f>
        <v/>
      </c>
    </row>
    <row r="45" ht="20" customHeight="1">
      <c r="A45" s="29" t="inlineStr">
        <is>
          <t>b2b_propostas</t>
        </is>
      </c>
      <c r="B45" s="30" t="inlineStr">
        <is>
          <t>B2B</t>
        </is>
      </c>
      <c r="C45" s="30" t="inlineStr">
        <is>
          <t>Propostas Enviadas</t>
        </is>
      </c>
      <c r="D45" s="11">
        <f>'🤝 B2B'!C16</f>
        <v/>
      </c>
      <c r="E45" s="11">
        <f>'🤝 B2B'!D16</f>
        <v/>
      </c>
      <c r="F45" s="11">
        <f>'🤝 B2B'!E16</f>
        <v/>
      </c>
      <c r="G45" s="11">
        <f>'🤝 B2B'!F16</f>
        <v/>
      </c>
      <c r="H45" s="11">
        <f>'🤝 B2B'!G16</f>
        <v/>
      </c>
      <c r="I45" s="11">
        <f>'🤝 B2B'!H16</f>
        <v/>
      </c>
      <c r="J45" s="11">
        <f>'🤝 B2B'!I16</f>
        <v/>
      </c>
      <c r="K45" s="11">
        <f>'🤝 B2B'!J16</f>
        <v/>
      </c>
      <c r="L45" s="11">
        <f>'🤝 B2B'!K16</f>
        <v/>
      </c>
      <c r="M45" s="11">
        <f>'🤝 B2B'!L16</f>
        <v/>
      </c>
      <c r="N45" s="11">
        <f>'🤝 B2B'!M16</f>
        <v/>
      </c>
      <c r="O45" s="11">
        <f>'🤝 B2B'!N16</f>
        <v/>
      </c>
      <c r="P45" s="12">
        <f>SUM(D45:O45)</f>
        <v/>
      </c>
    </row>
    <row r="46" ht="20" customHeight="1">
      <c r="A46" s="29" t="inlineStr">
        <is>
          <t>b2b_contratos</t>
        </is>
      </c>
      <c r="B46" s="30" t="inlineStr">
        <is>
          <t>B2B</t>
        </is>
      </c>
      <c r="C46" s="30" t="inlineStr">
        <is>
          <t>Contratos Fechados</t>
        </is>
      </c>
      <c r="D46" s="11">
        <f>'🤝 B2B'!C17</f>
        <v/>
      </c>
      <c r="E46" s="11">
        <f>'🤝 B2B'!D17</f>
        <v/>
      </c>
      <c r="F46" s="11">
        <f>'🤝 B2B'!E17</f>
        <v/>
      </c>
      <c r="G46" s="11">
        <f>'🤝 B2B'!F17</f>
        <v/>
      </c>
      <c r="H46" s="11">
        <f>'🤝 B2B'!G17</f>
        <v/>
      </c>
      <c r="I46" s="11">
        <f>'🤝 B2B'!H17</f>
        <v/>
      </c>
      <c r="J46" s="11">
        <f>'🤝 B2B'!I17</f>
        <v/>
      </c>
      <c r="K46" s="11">
        <f>'🤝 B2B'!J17</f>
        <v/>
      </c>
      <c r="L46" s="11">
        <f>'🤝 B2B'!K17</f>
        <v/>
      </c>
      <c r="M46" s="11">
        <f>'🤝 B2B'!L17</f>
        <v/>
      </c>
      <c r="N46" s="11">
        <f>'🤝 B2B'!M17</f>
        <v/>
      </c>
      <c r="O46" s="11">
        <f>'🤝 B2B'!N17</f>
        <v/>
      </c>
      <c r="P46" s="12">
        <f>SUM(D46:O46)</f>
        <v/>
      </c>
    </row>
    <row r="47" ht="20" customHeight="1">
      <c r="A47" s="29" t="inlineStr">
        <is>
          <t>b2b_receita</t>
        </is>
      </c>
      <c r="B47" s="30" t="inlineStr">
        <is>
          <t>B2B</t>
        </is>
      </c>
      <c r="C47" s="30" t="inlineStr">
        <is>
          <t>Receita B2B Vendida</t>
        </is>
      </c>
      <c r="D47" s="23">
        <f>'🤝 B2B'!C18</f>
        <v/>
      </c>
      <c r="E47" s="23">
        <f>'🤝 B2B'!D18</f>
        <v/>
      </c>
      <c r="F47" s="23">
        <f>'🤝 B2B'!E18</f>
        <v/>
      </c>
      <c r="G47" s="23">
        <f>'🤝 B2B'!F18</f>
        <v/>
      </c>
      <c r="H47" s="23">
        <f>'🤝 B2B'!G18</f>
        <v/>
      </c>
      <c r="I47" s="23">
        <f>'🤝 B2B'!H18</f>
        <v/>
      </c>
      <c r="J47" s="23">
        <f>'🤝 B2B'!I18</f>
        <v/>
      </c>
      <c r="K47" s="23">
        <f>'🤝 B2B'!J18</f>
        <v/>
      </c>
      <c r="L47" s="23">
        <f>'🤝 B2B'!K18</f>
        <v/>
      </c>
      <c r="M47" s="23">
        <f>'🤝 B2B'!L18</f>
        <v/>
      </c>
      <c r="N47" s="23">
        <f>'🤝 B2B'!M18</f>
        <v/>
      </c>
      <c r="O47" s="23">
        <f>'🤝 B2B'!N18</f>
        <v/>
      </c>
      <c r="P47" s="22">
        <f>SUM(D47:O47)</f>
        <v/>
      </c>
    </row>
    <row r="48" ht="20" customHeight="1">
      <c r="A48" s="29" t="inlineStr">
        <is>
          <t>b2b_ticket</t>
        </is>
      </c>
      <c r="B48" s="30" t="inlineStr">
        <is>
          <t>B2B</t>
        </is>
      </c>
      <c r="C48" s="30" t="inlineStr">
        <is>
          <t>Ticket Médio B2B</t>
        </is>
      </c>
      <c r="D48" s="23">
        <f>'🤝 B2B'!C19</f>
        <v/>
      </c>
      <c r="E48" s="23">
        <f>'🤝 B2B'!D19</f>
        <v/>
      </c>
      <c r="F48" s="23">
        <f>'🤝 B2B'!E19</f>
        <v/>
      </c>
      <c r="G48" s="23">
        <f>'🤝 B2B'!F19</f>
        <v/>
      </c>
      <c r="H48" s="23">
        <f>'🤝 B2B'!G19</f>
        <v/>
      </c>
      <c r="I48" s="23">
        <f>'🤝 B2B'!H19</f>
        <v/>
      </c>
      <c r="J48" s="23">
        <f>'🤝 B2B'!I19</f>
        <v/>
      </c>
      <c r="K48" s="23">
        <f>'🤝 B2B'!J19</f>
        <v/>
      </c>
      <c r="L48" s="23">
        <f>'🤝 B2B'!K19</f>
        <v/>
      </c>
      <c r="M48" s="23">
        <f>'🤝 B2B'!L19</f>
        <v/>
      </c>
      <c r="N48" s="23">
        <f>'🤝 B2B'!M19</f>
        <v/>
      </c>
      <c r="O48" s="23">
        <f>'🤝 B2B'!N19</f>
        <v/>
      </c>
      <c r="P48" s="22">
        <f>SUM(D48:O48)</f>
        <v/>
      </c>
    </row>
    <row r="49" ht="20" customHeight="1">
      <c r="A49" s="29" t="inlineStr">
        <is>
          <t>b2b_taxa_fech</t>
        </is>
      </c>
      <c r="B49" s="30" t="inlineStr">
        <is>
          <t>B2B</t>
        </is>
      </c>
      <c r="C49" s="30" t="inlineStr">
        <is>
          <t>Taxa de Fechamento</t>
        </is>
      </c>
      <c r="D49" s="24">
        <f>'🤝 B2B'!C20</f>
        <v/>
      </c>
      <c r="E49" s="24">
        <f>'🤝 B2B'!D20</f>
        <v/>
      </c>
      <c r="F49" s="24">
        <f>'🤝 B2B'!E20</f>
        <v/>
      </c>
      <c r="G49" s="24">
        <f>'🤝 B2B'!F20</f>
        <v/>
      </c>
      <c r="H49" s="24">
        <f>'🤝 B2B'!G20</f>
        <v/>
      </c>
      <c r="I49" s="24">
        <f>'🤝 B2B'!H20</f>
        <v/>
      </c>
      <c r="J49" s="24">
        <f>'🤝 B2B'!I20</f>
        <v/>
      </c>
      <c r="K49" s="24">
        <f>'🤝 B2B'!J20</f>
        <v/>
      </c>
      <c r="L49" s="24">
        <f>'🤝 B2B'!K20</f>
        <v/>
      </c>
      <c r="M49" s="24">
        <f>'🤝 B2B'!L20</f>
        <v/>
      </c>
      <c r="N49" s="24">
        <f>'🤝 B2B'!M20</f>
        <v/>
      </c>
      <c r="O49" s="24">
        <f>'🤝 B2B'!N20</f>
        <v/>
      </c>
      <c r="P49" s="20">
        <f>IFERROR(AVERAGE(D49:O49),0)</f>
        <v/>
      </c>
    </row>
    <row r="50" ht="20" customHeight="1">
      <c r="A50" s="29" t="inlineStr">
        <is>
          <t>b2b_ciclo</t>
        </is>
      </c>
      <c r="B50" s="30" t="inlineStr">
        <is>
          <t>B2B</t>
        </is>
      </c>
      <c r="C50" s="30" t="inlineStr">
        <is>
          <t>Ciclo Médio de Venda</t>
        </is>
      </c>
      <c r="D50" s="11">
        <f>'🤝 B2B'!C21</f>
        <v/>
      </c>
      <c r="E50" s="11">
        <f>'🤝 B2B'!D21</f>
        <v/>
      </c>
      <c r="F50" s="11">
        <f>'🤝 B2B'!E21</f>
        <v/>
      </c>
      <c r="G50" s="11">
        <f>'🤝 B2B'!F21</f>
        <v/>
      </c>
      <c r="H50" s="11">
        <f>'🤝 B2B'!G21</f>
        <v/>
      </c>
      <c r="I50" s="11">
        <f>'🤝 B2B'!H21</f>
        <v/>
      </c>
      <c r="J50" s="11">
        <f>'🤝 B2B'!I21</f>
        <v/>
      </c>
      <c r="K50" s="11">
        <f>'🤝 B2B'!J21</f>
        <v/>
      </c>
      <c r="L50" s="11">
        <f>'🤝 B2B'!K21</f>
        <v/>
      </c>
      <c r="M50" s="11">
        <f>'🤝 B2B'!L21</f>
        <v/>
      </c>
      <c r="N50" s="11">
        <f>'🤝 B2B'!M21</f>
        <v/>
      </c>
      <c r="O50" s="11">
        <f>'🤝 B2B'!N21</f>
        <v/>
      </c>
      <c r="P50" s="12">
        <f>SUM(D50:O50)</f>
        <v/>
      </c>
    </row>
    <row r="51" ht="20" customHeight="1">
      <c r="A51" s="29" t="inlineStr">
        <is>
          <t>lic_monit</t>
        </is>
      </c>
      <c r="B51" s="30" t="inlineStr">
        <is>
          <t>Licitações</t>
        </is>
      </c>
      <c r="C51" s="30" t="inlineStr">
        <is>
          <t>Editais Monitorados</t>
        </is>
      </c>
      <c r="D51" s="11">
        <f>'📋 Licitações'!C7</f>
        <v/>
      </c>
      <c r="E51" s="11">
        <f>'📋 Licitações'!D7</f>
        <v/>
      </c>
      <c r="F51" s="11">
        <f>'📋 Licitações'!E7</f>
        <v/>
      </c>
      <c r="G51" s="11">
        <f>'📋 Licitações'!F7</f>
        <v/>
      </c>
      <c r="H51" s="11">
        <f>'📋 Licitações'!G7</f>
        <v/>
      </c>
      <c r="I51" s="11">
        <f>'📋 Licitações'!H7</f>
        <v/>
      </c>
      <c r="J51" s="11">
        <f>'📋 Licitações'!I7</f>
        <v/>
      </c>
      <c r="K51" s="11">
        <f>'📋 Licitações'!J7</f>
        <v/>
      </c>
      <c r="L51" s="11">
        <f>'📋 Licitações'!K7</f>
        <v/>
      </c>
      <c r="M51" s="11">
        <f>'📋 Licitações'!L7</f>
        <v/>
      </c>
      <c r="N51" s="11">
        <f>'📋 Licitações'!M7</f>
        <v/>
      </c>
      <c r="O51" s="11">
        <f>'📋 Licitações'!N7</f>
        <v/>
      </c>
      <c r="P51" s="12">
        <f>SUM(D51:O51)</f>
        <v/>
      </c>
    </row>
    <row r="52" ht="20" customHeight="1">
      <c r="A52" s="29" t="inlineStr">
        <is>
          <t>lic_subm</t>
        </is>
      </c>
      <c r="B52" s="30" t="inlineStr">
        <is>
          <t>Licitações</t>
        </is>
      </c>
      <c r="C52" s="30" t="inlineStr">
        <is>
          <t>Editais Submetidos</t>
        </is>
      </c>
      <c r="D52" s="11">
        <f>'📋 Licitações'!C8</f>
        <v/>
      </c>
      <c r="E52" s="11">
        <f>'📋 Licitações'!D8</f>
        <v/>
      </c>
      <c r="F52" s="11">
        <f>'📋 Licitações'!E8</f>
        <v/>
      </c>
      <c r="G52" s="11">
        <f>'📋 Licitações'!F8</f>
        <v/>
      </c>
      <c r="H52" s="11">
        <f>'📋 Licitações'!G8</f>
        <v/>
      </c>
      <c r="I52" s="11">
        <f>'📋 Licitações'!H8</f>
        <v/>
      </c>
      <c r="J52" s="11">
        <f>'📋 Licitações'!I8</f>
        <v/>
      </c>
      <c r="K52" s="11">
        <f>'📋 Licitações'!J8</f>
        <v/>
      </c>
      <c r="L52" s="11">
        <f>'📋 Licitações'!K8</f>
        <v/>
      </c>
      <c r="M52" s="11">
        <f>'📋 Licitações'!L8</f>
        <v/>
      </c>
      <c r="N52" s="11">
        <f>'📋 Licitações'!M8</f>
        <v/>
      </c>
      <c r="O52" s="11">
        <f>'📋 Licitações'!N8</f>
        <v/>
      </c>
      <c r="P52" s="12">
        <f>SUM(D52:O52)</f>
        <v/>
      </c>
    </row>
    <row r="53" ht="20" customHeight="1">
      <c r="A53" s="29" t="inlineStr">
        <is>
          <t>lic_ganhos</t>
        </is>
      </c>
      <c r="B53" s="30" t="inlineStr">
        <is>
          <t>Licitações</t>
        </is>
      </c>
      <c r="C53" s="30" t="inlineStr">
        <is>
          <t>Editais Ganhos</t>
        </is>
      </c>
      <c r="D53" s="11">
        <f>'📋 Licitações'!C9</f>
        <v/>
      </c>
      <c r="E53" s="11">
        <f>'📋 Licitações'!D9</f>
        <v/>
      </c>
      <c r="F53" s="11">
        <f>'📋 Licitações'!E9</f>
        <v/>
      </c>
      <c r="G53" s="11">
        <f>'📋 Licitações'!F9</f>
        <v/>
      </c>
      <c r="H53" s="11">
        <f>'📋 Licitações'!G9</f>
        <v/>
      </c>
      <c r="I53" s="11">
        <f>'📋 Licitações'!H9</f>
        <v/>
      </c>
      <c r="J53" s="11">
        <f>'📋 Licitações'!I9</f>
        <v/>
      </c>
      <c r="K53" s="11">
        <f>'📋 Licitações'!J9</f>
        <v/>
      </c>
      <c r="L53" s="11">
        <f>'📋 Licitações'!K9</f>
        <v/>
      </c>
      <c r="M53" s="11">
        <f>'📋 Licitações'!L9</f>
        <v/>
      </c>
      <c r="N53" s="11">
        <f>'📋 Licitações'!M9</f>
        <v/>
      </c>
      <c r="O53" s="11">
        <f>'📋 Licitações'!N9</f>
        <v/>
      </c>
      <c r="P53" s="12">
        <f>SUM(D53:O53)</f>
        <v/>
      </c>
    </row>
    <row r="54" ht="20" customHeight="1">
      <c r="A54" s="29" t="inlineStr">
        <is>
          <t>lic_taxa</t>
        </is>
      </c>
      <c r="B54" s="30" t="inlineStr">
        <is>
          <t>Licitações</t>
        </is>
      </c>
      <c r="C54" s="30" t="inlineStr">
        <is>
          <t>Taxa de Êxito</t>
        </is>
      </c>
      <c r="D54" s="24">
        <f>'📋 Licitações'!C10</f>
        <v/>
      </c>
      <c r="E54" s="24">
        <f>'📋 Licitações'!D10</f>
        <v/>
      </c>
      <c r="F54" s="24">
        <f>'📋 Licitações'!E10</f>
        <v/>
      </c>
      <c r="G54" s="24">
        <f>'📋 Licitações'!F10</f>
        <v/>
      </c>
      <c r="H54" s="24">
        <f>'📋 Licitações'!G10</f>
        <v/>
      </c>
      <c r="I54" s="24">
        <f>'📋 Licitações'!H10</f>
        <v/>
      </c>
      <c r="J54" s="24">
        <f>'📋 Licitações'!I10</f>
        <v/>
      </c>
      <c r="K54" s="24">
        <f>'📋 Licitações'!J10</f>
        <v/>
      </c>
      <c r="L54" s="24">
        <f>'📋 Licitações'!K10</f>
        <v/>
      </c>
      <c r="M54" s="24">
        <f>'📋 Licitações'!L10</f>
        <v/>
      </c>
      <c r="N54" s="24">
        <f>'📋 Licitações'!M10</f>
        <v/>
      </c>
      <c r="O54" s="24">
        <f>'📋 Licitações'!N10</f>
        <v/>
      </c>
      <c r="P54" s="20">
        <f>IFERROR(AVERAGE(D54:O54),0)</f>
        <v/>
      </c>
    </row>
    <row r="55" ht="20" customHeight="1">
      <c r="A55" s="29" t="inlineStr">
        <is>
          <t>lic_receita</t>
        </is>
      </c>
      <c r="B55" s="30" t="inlineStr">
        <is>
          <t>Licitações</t>
        </is>
      </c>
      <c r="C55" s="30" t="inlineStr">
        <is>
          <t>Receita Editais</t>
        </is>
      </c>
      <c r="D55" s="23">
        <f>'📋 Licitações'!C13</f>
        <v/>
      </c>
      <c r="E55" s="23">
        <f>'📋 Licitações'!D13</f>
        <v/>
      </c>
      <c r="F55" s="23">
        <f>'📋 Licitações'!E13</f>
        <v/>
      </c>
      <c r="G55" s="23">
        <f>'📋 Licitações'!F13</f>
        <v/>
      </c>
      <c r="H55" s="23">
        <f>'📋 Licitações'!G13</f>
        <v/>
      </c>
      <c r="I55" s="23">
        <f>'📋 Licitações'!H13</f>
        <v/>
      </c>
      <c r="J55" s="23">
        <f>'📋 Licitações'!I13</f>
        <v/>
      </c>
      <c r="K55" s="23">
        <f>'📋 Licitações'!J13</f>
        <v/>
      </c>
      <c r="L55" s="23">
        <f>'📋 Licitações'!K13</f>
        <v/>
      </c>
      <c r="M55" s="23">
        <f>'📋 Licitações'!L13</f>
        <v/>
      </c>
      <c r="N55" s="23">
        <f>'📋 Licitações'!M13</f>
        <v/>
      </c>
      <c r="O55" s="23">
        <f>'📋 Licitações'!N13</f>
        <v/>
      </c>
      <c r="P55" s="22">
        <f>SUM(D55:O55)</f>
        <v/>
      </c>
    </row>
    <row r="56" ht="20" customHeight="1">
      <c r="A56" s="29" t="inlineStr">
        <is>
          <t>lic_pipeline</t>
        </is>
      </c>
      <c r="B56" s="30" t="inlineStr">
        <is>
          <t>Licitações</t>
        </is>
      </c>
      <c r="C56" s="30" t="inlineStr">
        <is>
          <t>Pipeline Editais</t>
        </is>
      </c>
      <c r="D56" s="23">
        <f>'📋 Licitações'!C14</f>
        <v/>
      </c>
      <c r="E56" s="23">
        <f>'📋 Licitações'!D14</f>
        <v/>
      </c>
      <c r="F56" s="23">
        <f>'📋 Licitações'!E14</f>
        <v/>
      </c>
      <c r="G56" s="23">
        <f>'📋 Licitações'!F14</f>
        <v/>
      </c>
      <c r="H56" s="23">
        <f>'📋 Licitações'!G14</f>
        <v/>
      </c>
      <c r="I56" s="23">
        <f>'📋 Licitações'!H14</f>
        <v/>
      </c>
      <c r="J56" s="23">
        <f>'📋 Licitações'!I14</f>
        <v/>
      </c>
      <c r="K56" s="23">
        <f>'📋 Licitações'!J14</f>
        <v/>
      </c>
      <c r="L56" s="23">
        <f>'📋 Licitações'!K14</f>
        <v/>
      </c>
      <c r="M56" s="23">
        <f>'📋 Licitações'!L14</f>
        <v/>
      </c>
      <c r="N56" s="23">
        <f>'📋 Licitações'!M14</f>
        <v/>
      </c>
      <c r="O56" s="23">
        <f>'📋 Licitações'!N14</f>
        <v/>
      </c>
      <c r="P56" s="22">
        <f>SUM(D56:O56)</f>
        <v/>
      </c>
    </row>
    <row r="57" ht="20" customHeight="1">
      <c r="A57" s="29" t="inlineStr">
        <is>
          <t>lic_vigentes</t>
        </is>
      </c>
      <c r="B57" s="30" t="inlineStr">
        <is>
          <t>Licitações</t>
        </is>
      </c>
      <c r="C57" s="30" t="inlineStr">
        <is>
          <t>Contratos Vigentes</t>
        </is>
      </c>
      <c r="D57" s="11">
        <f>'📋 Licitações'!C17</f>
        <v/>
      </c>
      <c r="E57" s="11">
        <f>'📋 Licitações'!D17</f>
        <v/>
      </c>
      <c r="F57" s="11">
        <f>'📋 Licitações'!E17</f>
        <v/>
      </c>
      <c r="G57" s="11">
        <f>'📋 Licitações'!F17</f>
        <v/>
      </c>
      <c r="H57" s="11">
        <f>'📋 Licitações'!G17</f>
        <v/>
      </c>
      <c r="I57" s="11">
        <f>'📋 Licitações'!H17</f>
        <v/>
      </c>
      <c r="J57" s="11">
        <f>'📋 Licitações'!I17</f>
        <v/>
      </c>
      <c r="K57" s="11">
        <f>'📋 Licitações'!J17</f>
        <v/>
      </c>
      <c r="L57" s="11">
        <f>'📋 Licitações'!K17</f>
        <v/>
      </c>
      <c r="M57" s="11">
        <f>'📋 Licitações'!L17</f>
        <v/>
      </c>
      <c r="N57" s="11">
        <f>'📋 Licitações'!M17</f>
        <v/>
      </c>
      <c r="O57" s="11">
        <f>'📋 Licitações'!N17</f>
        <v/>
      </c>
      <c r="P57" s="12">
        <f>SUM(D57:O57)</f>
        <v/>
      </c>
    </row>
    <row r="58" ht="20" customHeight="1">
      <c r="A58" s="29" t="inlineStr">
        <is>
          <t>lic_prest_entr</t>
        </is>
      </c>
      <c r="B58" s="30" t="inlineStr">
        <is>
          <t>Licitações</t>
        </is>
      </c>
      <c r="C58" s="30" t="inlineStr">
        <is>
          <t>Prestações Entregues</t>
        </is>
      </c>
      <c r="D58" s="11">
        <f>'📋 Licitações'!C18</f>
        <v/>
      </c>
      <c r="E58" s="11">
        <f>'📋 Licitações'!D18</f>
        <v/>
      </c>
      <c r="F58" s="11">
        <f>'📋 Licitações'!E18</f>
        <v/>
      </c>
      <c r="G58" s="11">
        <f>'📋 Licitações'!F18</f>
        <v/>
      </c>
      <c r="H58" s="11">
        <f>'📋 Licitações'!G18</f>
        <v/>
      </c>
      <c r="I58" s="11">
        <f>'📋 Licitações'!H18</f>
        <v/>
      </c>
      <c r="J58" s="11">
        <f>'📋 Licitações'!I18</f>
        <v/>
      </c>
      <c r="K58" s="11">
        <f>'📋 Licitações'!J18</f>
        <v/>
      </c>
      <c r="L58" s="11">
        <f>'📋 Licitações'!K18</f>
        <v/>
      </c>
      <c r="M58" s="11">
        <f>'📋 Licitações'!L18</f>
        <v/>
      </c>
      <c r="N58" s="11">
        <f>'📋 Licitações'!M18</f>
        <v/>
      </c>
      <c r="O58" s="11">
        <f>'📋 Licitações'!N18</f>
        <v/>
      </c>
      <c r="P58" s="12">
        <f>SUM(D58:O58)</f>
        <v/>
      </c>
    </row>
    <row r="59" ht="20" customHeight="1">
      <c r="A59" s="29" t="inlineStr">
        <is>
          <t>lic_prest_pend</t>
        </is>
      </c>
      <c r="B59" s="30" t="inlineStr">
        <is>
          <t>Licitações</t>
        </is>
      </c>
      <c r="C59" s="30" t="inlineStr">
        <is>
          <t>Prestações Pendentes</t>
        </is>
      </c>
      <c r="D59" s="11">
        <f>'📋 Licitações'!C19</f>
        <v/>
      </c>
      <c r="E59" s="11">
        <f>'📋 Licitações'!D19</f>
        <v/>
      </c>
      <c r="F59" s="11">
        <f>'📋 Licitações'!E19</f>
        <v/>
      </c>
      <c r="G59" s="11">
        <f>'📋 Licitações'!F19</f>
        <v/>
      </c>
      <c r="H59" s="11">
        <f>'📋 Licitações'!G19</f>
        <v/>
      </c>
      <c r="I59" s="11">
        <f>'📋 Licitações'!H19</f>
        <v/>
      </c>
      <c r="J59" s="11">
        <f>'📋 Licitações'!I19</f>
        <v/>
      </c>
      <c r="K59" s="11">
        <f>'📋 Licitações'!J19</f>
        <v/>
      </c>
      <c r="L59" s="11">
        <f>'📋 Licitações'!K19</f>
        <v/>
      </c>
      <c r="M59" s="11">
        <f>'📋 Licitações'!L19</f>
        <v/>
      </c>
      <c r="N59" s="11">
        <f>'📋 Licitações'!M19</f>
        <v/>
      </c>
      <c r="O59" s="11">
        <f>'📋 Licitações'!N19</f>
        <v/>
      </c>
      <c r="P59" s="12">
        <f>SUM(D59:O59)</f>
        <v/>
      </c>
    </row>
    <row r="60" ht="20" customHeight="1">
      <c r="A60" s="29" t="inlineStr">
        <is>
          <t>lic_prest_atraso</t>
        </is>
      </c>
      <c r="B60" s="30" t="inlineStr">
        <is>
          <t>Licitações</t>
        </is>
      </c>
      <c r="C60" s="30" t="inlineStr">
        <is>
          <t>Prestações em Atraso</t>
        </is>
      </c>
      <c r="D60" s="11">
        <f>'📋 Licitações'!C20</f>
        <v/>
      </c>
      <c r="E60" s="11">
        <f>'📋 Licitações'!D20</f>
        <v/>
      </c>
      <c r="F60" s="11">
        <f>'📋 Licitações'!E20</f>
        <v/>
      </c>
      <c r="G60" s="11">
        <f>'📋 Licitações'!F20</f>
        <v/>
      </c>
      <c r="H60" s="11">
        <f>'📋 Licitações'!G20</f>
        <v/>
      </c>
      <c r="I60" s="11">
        <f>'📋 Licitações'!H20</f>
        <v/>
      </c>
      <c r="J60" s="11">
        <f>'📋 Licitações'!I20</f>
        <v/>
      </c>
      <c r="K60" s="11">
        <f>'📋 Licitações'!J20</f>
        <v/>
      </c>
      <c r="L60" s="11">
        <f>'📋 Licitações'!K20</f>
        <v/>
      </c>
      <c r="M60" s="11">
        <f>'📋 Licitações'!L20</f>
        <v/>
      </c>
      <c r="N60" s="11">
        <f>'📋 Licitações'!M20</f>
        <v/>
      </c>
      <c r="O60" s="11">
        <f>'📋 Licitações'!N20</f>
        <v/>
      </c>
      <c r="P60" s="12">
        <f>SUM(D60:O60)</f>
        <v/>
      </c>
    </row>
    <row r="61" ht="20" customHeight="1">
      <c r="A61" s="29" t="inlineStr">
        <is>
          <t>lic_trs</t>
        </is>
      </c>
      <c r="B61" s="30" t="inlineStr">
        <is>
          <t>Licitações</t>
        </is>
      </c>
      <c r="C61" s="30" t="inlineStr">
        <is>
          <t>TRs em Aprovação</t>
        </is>
      </c>
      <c r="D61" s="11">
        <f>'📋 Licitações'!C23</f>
        <v/>
      </c>
      <c r="E61" s="11">
        <f>'📋 Licitações'!D23</f>
        <v/>
      </c>
      <c r="F61" s="11">
        <f>'📋 Licitações'!E23</f>
        <v/>
      </c>
      <c r="G61" s="11">
        <f>'📋 Licitações'!F23</f>
        <v/>
      </c>
      <c r="H61" s="11">
        <f>'📋 Licitações'!G23</f>
        <v/>
      </c>
      <c r="I61" s="11">
        <f>'📋 Licitações'!H23</f>
        <v/>
      </c>
      <c r="J61" s="11">
        <f>'📋 Licitações'!I23</f>
        <v/>
      </c>
      <c r="K61" s="11">
        <f>'📋 Licitações'!J23</f>
        <v/>
      </c>
      <c r="L61" s="11">
        <f>'📋 Licitações'!K23</f>
        <v/>
      </c>
      <c r="M61" s="11">
        <f>'📋 Licitações'!L23</f>
        <v/>
      </c>
      <c r="N61" s="11">
        <f>'📋 Licitações'!M23</f>
        <v/>
      </c>
      <c r="O61" s="11">
        <f>'📋 Licitações'!N23</f>
        <v/>
      </c>
      <c r="P61" s="12">
        <f>SUM(D61:O61)</f>
        <v/>
      </c>
    </row>
    <row r="62" ht="20" customHeight="1">
      <c r="A62" s="29" t="inlineStr">
        <is>
          <t>lic_followups</t>
        </is>
      </c>
      <c r="B62" s="30" t="inlineStr">
        <is>
          <t>Licitações</t>
        </is>
      </c>
      <c r="C62" s="30" t="inlineStr">
        <is>
          <t>Follow-ups Agendados</t>
        </is>
      </c>
      <c r="D62" s="11">
        <f>'📋 Licitações'!C24</f>
        <v/>
      </c>
      <c r="E62" s="11">
        <f>'📋 Licitações'!D24</f>
        <v/>
      </c>
      <c r="F62" s="11">
        <f>'📋 Licitações'!E24</f>
        <v/>
      </c>
      <c r="G62" s="11">
        <f>'📋 Licitações'!F24</f>
        <v/>
      </c>
      <c r="H62" s="11">
        <f>'📋 Licitações'!G24</f>
        <v/>
      </c>
      <c r="I62" s="11">
        <f>'📋 Licitações'!H24</f>
        <v/>
      </c>
      <c r="J62" s="11">
        <f>'📋 Licitações'!I24</f>
        <v/>
      </c>
      <c r="K62" s="11">
        <f>'📋 Licitações'!J24</f>
        <v/>
      </c>
      <c r="L62" s="11">
        <f>'📋 Licitações'!K24</f>
        <v/>
      </c>
      <c r="M62" s="11">
        <f>'📋 Licitações'!L24</f>
        <v/>
      </c>
      <c r="N62" s="11">
        <f>'📋 Licitações'!M24</f>
        <v/>
      </c>
      <c r="O62" s="11">
        <f>'📋 Licitações'!N24</f>
        <v/>
      </c>
      <c r="P62" s="12">
        <f>SUM(D62:O62)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2026-05-25T00:25:27Z</dcterms:created>
  <dcterms:modified xsi:type="dcterms:W3CDTF">2026-05-25T00:25:27Z</dcterms:modified>
</cp:coreProperties>
</file>